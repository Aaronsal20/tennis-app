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 Details" sheetId="1" r:id="rId4"/>
    <sheet state="visible" name="Slots" sheetId="2" r:id="rId5"/>
    <sheet state="visible" name="Mens Singles" sheetId="3" r:id="rId6"/>
    <sheet state="visible" name="Mens Doubles" sheetId="4" r:id="rId7"/>
    <sheet state="visible" name="Mixed Doubles" sheetId="5" r:id="rId8"/>
    <sheet state="visible" name="Ladies Doubles" sheetId="6" r:id="rId9"/>
    <sheet state="visible" name="Ladies Singles" sheetId="7" r:id="rId10"/>
    <sheet state="visible" name="Boys Singles" sheetId="8" r:id="rId11"/>
    <sheet state="visible" name="Boys Doubles" sheetId="9" r:id="rId12"/>
    <sheet state="visible" name="Mens 40+ Singles" sheetId="10" r:id="rId13"/>
    <sheet state="visible" name="Rules" sheetId="11" r:id="rId14"/>
  </sheets>
  <definedNames/>
  <calcPr/>
</workbook>
</file>

<file path=xl/sharedStrings.xml><?xml version="1.0" encoding="utf-8"?>
<sst xmlns="http://schemas.openxmlformats.org/spreadsheetml/2006/main" count="1201" uniqueCount="168">
  <si>
    <t>Name</t>
  </si>
  <si>
    <t>Phone</t>
  </si>
  <si>
    <t>Category</t>
  </si>
  <si>
    <t>Ayaan kumar</t>
  </si>
  <si>
    <t>Boys</t>
  </si>
  <si>
    <t>Arsh Sardesai</t>
  </si>
  <si>
    <t>Kaivalya devaraya</t>
  </si>
  <si>
    <t>Adianta Devaraya</t>
  </si>
  <si>
    <t xml:space="preserve">Ethan Luis de Ataide </t>
  </si>
  <si>
    <t xml:space="preserve">Alec  cris barreto </t>
  </si>
  <si>
    <t xml:space="preserve">Aragya Goyal </t>
  </si>
  <si>
    <t>Timofei Polosin</t>
  </si>
  <si>
    <t xml:space="preserve">Kyan Mavany </t>
  </si>
  <si>
    <t xml:space="preserve">Tarshish Zolmi </t>
  </si>
  <si>
    <t>Shaurya Verlekar</t>
  </si>
  <si>
    <t>Sairaj Narvekar</t>
  </si>
  <si>
    <t>Tvisha Sardesai</t>
  </si>
  <si>
    <t>Ladies</t>
  </si>
  <si>
    <t>Kimberly Cabral</t>
  </si>
  <si>
    <t>Anisha Kadam</t>
  </si>
  <si>
    <t>Urvi Panandiker</t>
  </si>
  <si>
    <t xml:space="preserve">Analeah  Pearl  Menezes </t>
  </si>
  <si>
    <t>Eva Marie de Souza</t>
  </si>
  <si>
    <t xml:space="preserve">Junette Rodrigues </t>
  </si>
  <si>
    <t>Atashia Gonsalves</t>
  </si>
  <si>
    <t>Valencia Aguiar</t>
  </si>
  <si>
    <t>Anaisha Goyal</t>
  </si>
  <si>
    <t>Kate Lynn Fernandes</t>
  </si>
  <si>
    <t xml:space="preserve">Saanj kunde </t>
  </si>
  <si>
    <t xml:space="preserve">Prince Agnelo de Silva </t>
  </si>
  <si>
    <t>Men</t>
  </si>
  <si>
    <t>Melvin Barreto</t>
  </si>
  <si>
    <t>Siddharth Sikand</t>
  </si>
  <si>
    <t>Dr Ashok Borkar</t>
  </si>
  <si>
    <t>Anirved Deshpande</t>
  </si>
  <si>
    <t>Joshua Cardozo</t>
  </si>
  <si>
    <t>Dr Suraj S Patlekar</t>
  </si>
  <si>
    <t xml:space="preserve">Marcus DCosta </t>
  </si>
  <si>
    <t>Dr Vishal Gude</t>
  </si>
  <si>
    <t>Jai Gill</t>
  </si>
  <si>
    <t>Kalyan B</t>
  </si>
  <si>
    <t xml:space="preserve">Elvis Sequeira </t>
  </si>
  <si>
    <t xml:space="preserve">Santan Pereira </t>
  </si>
  <si>
    <t xml:space="preserve">Luis Antonio de Ataide </t>
  </si>
  <si>
    <t>Torcato Vaz</t>
  </si>
  <si>
    <t>+15133849079</t>
  </si>
  <si>
    <t>Savio Cabral</t>
  </si>
  <si>
    <t>Kishor Metry</t>
  </si>
  <si>
    <t>Aaron Saldanha</t>
  </si>
  <si>
    <t>Rugved Bandekar</t>
  </si>
  <si>
    <t>Kane Pereira</t>
  </si>
  <si>
    <t>Ehrlick de Ataide</t>
  </si>
  <si>
    <t>Dunstan Dias</t>
  </si>
  <si>
    <t>Anurag Agrawal</t>
  </si>
  <si>
    <t>Sagar Utagi</t>
  </si>
  <si>
    <t>Chinmay Kantak</t>
  </si>
  <si>
    <t>Dr Aman Prabhugaonkar</t>
  </si>
  <si>
    <t>SUNDAY</t>
  </si>
  <si>
    <t>NOVEMBER</t>
  </si>
  <si>
    <t>7-7:45 AM</t>
  </si>
  <si>
    <t>A</t>
  </si>
  <si>
    <t>Fatorda C1,2,3,4</t>
  </si>
  <si>
    <t>MONDAY</t>
  </si>
  <si>
    <t>TUESDAY</t>
  </si>
  <si>
    <t>WEDNESDAY</t>
  </si>
  <si>
    <t>THURSDAY</t>
  </si>
  <si>
    <t>FRIDAY</t>
  </si>
  <si>
    <t>SATURDAY</t>
  </si>
  <si>
    <t>7:45-8:30 AM</t>
  </si>
  <si>
    <t>B</t>
  </si>
  <si>
    <t>Court 4</t>
  </si>
  <si>
    <t>C2</t>
  </si>
  <si>
    <t>Beleza</t>
  </si>
  <si>
    <t>Court 1</t>
  </si>
  <si>
    <t>Court 2</t>
  </si>
  <si>
    <t>Court 3</t>
  </si>
  <si>
    <t>8:30-9:15 AM</t>
  </si>
  <si>
    <t>C</t>
  </si>
  <si>
    <t>D</t>
  </si>
  <si>
    <t>E</t>
  </si>
  <si>
    <t>F</t>
  </si>
  <si>
    <t>4-4:45 PM</t>
  </si>
  <si>
    <t>C1,2 and Beleza</t>
  </si>
  <si>
    <t>Open</t>
  </si>
  <si>
    <t>Booked</t>
  </si>
  <si>
    <t>4:45-5:30 PM</t>
  </si>
  <si>
    <t>5:30-6:15 PM</t>
  </si>
  <si>
    <t>MONDAY - SATURDAY</t>
  </si>
  <si>
    <t>4:30-5:15 PM</t>
  </si>
  <si>
    <t>DECEMBER</t>
  </si>
  <si>
    <t>5:15-6:00 PM</t>
  </si>
  <si>
    <t>* Beleza slots have been highlighted blue</t>
  </si>
  <si>
    <t>SLOT NAMING :
Please refer to this slot naming to check which slots are available on which days</t>
  </si>
  <si>
    <t>JANUARY</t>
  </si>
  <si>
    <t>Prince</t>
  </si>
  <si>
    <t>Siddharth</t>
  </si>
  <si>
    <t>Anirved</t>
  </si>
  <si>
    <t>Joshua</t>
  </si>
  <si>
    <t>Suraj</t>
  </si>
  <si>
    <t>Marcus</t>
  </si>
  <si>
    <t>Adianta</t>
  </si>
  <si>
    <t>Ethan</t>
  </si>
  <si>
    <t>Jai</t>
  </si>
  <si>
    <t>Kalyan</t>
  </si>
  <si>
    <t>Kyan</t>
  </si>
  <si>
    <t>Santan</t>
  </si>
  <si>
    <t>Torcato</t>
  </si>
  <si>
    <t>Kishor</t>
  </si>
  <si>
    <t>Aaron</t>
  </si>
  <si>
    <t>Rugved</t>
  </si>
  <si>
    <t>Kane</t>
  </si>
  <si>
    <t>Dunstan</t>
  </si>
  <si>
    <t>Chinmay</t>
  </si>
  <si>
    <t>Anurag</t>
  </si>
  <si>
    <t>Total Points</t>
  </si>
  <si>
    <t>Rank</t>
  </si>
  <si>
    <t>Suraj S Patlekar</t>
  </si>
  <si>
    <t>Ashok + Sagar</t>
  </si>
  <si>
    <t>Anirved + Santan</t>
  </si>
  <si>
    <t>Joshua + Torcato</t>
  </si>
  <si>
    <t>Suraj + Melvin</t>
  </si>
  <si>
    <t>Marcus + Elvis</t>
  </si>
  <si>
    <t>Ethan + Luis</t>
  </si>
  <si>
    <t>Kyan + Aaron</t>
  </si>
  <si>
    <t>Antu + Kane</t>
  </si>
  <si>
    <t>Ehrlick + Prince</t>
  </si>
  <si>
    <t>Tvisha + Anup</t>
  </si>
  <si>
    <t>Kimberly + Joshua</t>
  </si>
  <si>
    <t>Junette + Anirved</t>
  </si>
  <si>
    <t>Ana + Santan</t>
  </si>
  <si>
    <t>Atashia + Dunstan</t>
  </si>
  <si>
    <t>Valencia + Kane</t>
  </si>
  <si>
    <t>Vishal + Anisha</t>
  </si>
  <si>
    <t>Kimberly + Junette</t>
  </si>
  <si>
    <t>Anisha + Urvi</t>
  </si>
  <si>
    <t>Anaisha + Kate</t>
  </si>
  <si>
    <t>Ana + Eva</t>
  </si>
  <si>
    <t>Saanj + Avni</t>
  </si>
  <si>
    <t>Atashia + Valencia</t>
  </si>
  <si>
    <t>Tvisha</t>
  </si>
  <si>
    <t>Kimberly</t>
  </si>
  <si>
    <t>Urvi</t>
  </si>
  <si>
    <t>Junette</t>
  </si>
  <si>
    <t>Analeah</t>
  </si>
  <si>
    <t>Ayaan</t>
  </si>
  <si>
    <t>Arsh</t>
  </si>
  <si>
    <t>Kai</t>
  </si>
  <si>
    <t>Antu</t>
  </si>
  <si>
    <t>Alec</t>
  </si>
  <si>
    <t>Aragya</t>
  </si>
  <si>
    <t>Tim</t>
  </si>
  <si>
    <t>Tarshish</t>
  </si>
  <si>
    <t>Shaurya</t>
  </si>
  <si>
    <t>Kaivalya Devaraya</t>
  </si>
  <si>
    <t xml:space="preserve">Alec Cris Barreto </t>
  </si>
  <si>
    <t>Timofei</t>
  </si>
  <si>
    <t>Ayaan + Tim</t>
  </si>
  <si>
    <t>Kai + Antu</t>
  </si>
  <si>
    <t>Alec + Aragya</t>
  </si>
  <si>
    <t>Kyan + Shaurya</t>
  </si>
  <si>
    <t>Tarshish + Aarav</t>
  </si>
  <si>
    <t>Melvin</t>
  </si>
  <si>
    <t>Aman</t>
  </si>
  <si>
    <t>Elvis</t>
  </si>
  <si>
    <t>Luis</t>
  </si>
  <si>
    <t>Ehrlick</t>
  </si>
  <si>
    <t>Savio</t>
  </si>
  <si>
    <t>Aman Prabhugaonkar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</si>
</sst>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434343"/>
      <name val="Roboto"/>
    </font>
    <font>
      <color rgb="FF434343"/>
      <name val="Roboto"/>
    </font>
    <font>
      <color rgb="FFFFF2CC"/>
      <name val="Arial"/>
      <scheme val="minor"/>
    </font>
    <font/>
    <font>
      <color rgb="FFFFFFFF"/>
      <name val="Arial"/>
      <scheme val="minor"/>
    </font>
    <font>
      <color rgb="FF2E4CA1"/>
      <name val="Arial"/>
      <scheme val="minor"/>
    </font>
    <font>
      <b/>
      <color rgb="FF073763"/>
      <name val="Arial"/>
      <scheme val="minor"/>
    </font>
    <font>
      <b/>
      <sz val="14.0"/>
      <color rgb="FFFFF2CC"/>
      <name val="Arial"/>
      <scheme val="minor"/>
    </font>
    <font>
      <b/>
      <color rgb="FFFFF2CC"/>
      <name val="Arial"/>
      <scheme val="minor"/>
    </font>
    <font>
      <b/>
      <color rgb="FFFFF2CC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2E4CA1"/>
        <bgColor rgb="FF2E4CA1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</fills>
  <borders count="7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E4CA1"/>
      </left>
      <top style="thin">
        <color rgb="FF2E4CA1"/>
      </top>
    </border>
    <border>
      <top style="thin">
        <color rgb="FF2E4CA1"/>
      </top>
    </border>
    <border>
      <right style="thin">
        <color rgb="FF2E4CA1"/>
      </right>
      <top style="thin">
        <color rgb="FF2E4CA1"/>
      </top>
    </border>
    <border>
      <right style="medium">
        <color rgb="FF0B5394"/>
      </right>
    </border>
    <border>
      <top style="medium">
        <color rgb="FF0B5394"/>
      </top>
    </border>
    <border>
      <right style="medium">
        <color rgb="FF0B5394"/>
      </right>
      <top style="medium">
        <color rgb="FF0B5394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medium">
        <color rgb="FF0B5394"/>
      </left>
      <right style="medium">
        <color rgb="FF0B5394"/>
      </right>
      <bottom style="thin">
        <color rgb="FFFFFFFF"/>
      </bottom>
    </border>
    <border>
      <left style="thin">
        <color rgb="FF000000"/>
      </left>
    </border>
    <border>
      <left style="medium">
        <color rgb="FF0B5394"/>
      </left>
      <right style="medium">
        <color rgb="FF0B5394"/>
      </right>
      <top style="thin">
        <color rgb="FFFFFFFF"/>
      </top>
      <bottom style="thin">
        <color rgb="FFFFFFFF"/>
      </bottom>
    </border>
    <border>
      <right style="medium">
        <color rgb="FF2E4CA1"/>
      </right>
    </border>
    <border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top style="thin">
        <color rgb="FF0B5394"/>
      </top>
    </border>
    <border>
      <left style="medium">
        <color rgb="FF0B5394"/>
      </left>
      <right style="medium">
        <color rgb="FF0B5394"/>
      </right>
      <top style="thin">
        <color rgb="FFFFFFFF"/>
      </top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medium">
        <color rgb="FF2E4CA1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medium">
        <color rgb="FF0B5394"/>
      </right>
      <top style="thin">
        <color rgb="FF0B5394"/>
      </top>
      <bottom style="thin">
        <color rgb="FF0B5394"/>
      </bottom>
    </border>
    <border>
      <right style="medium">
        <color rgb="FF0B5394"/>
      </right>
      <bottom style="medium">
        <color rgb="FF0B5394"/>
      </bottom>
    </border>
    <border>
      <right style="thin">
        <color rgb="FFFFFFFF"/>
      </right>
      <top style="medium">
        <color rgb="FF0B5394"/>
      </top>
      <bottom style="medium">
        <color rgb="FF0B5394"/>
      </bottom>
    </border>
    <border>
      <left style="thin">
        <color rgb="FFFFFFFF"/>
      </left>
      <right style="thin">
        <color rgb="FFFFFFFF"/>
      </right>
      <top style="medium">
        <color rgb="FF0B5394"/>
      </top>
      <bottom style="medium">
        <color rgb="FF0B539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B5394"/>
      </bottom>
    </border>
    <border>
      <left style="thin">
        <color rgb="FFFFFFFF"/>
      </left>
      <top style="medium">
        <color rgb="FF0B5394"/>
      </top>
      <bottom style="medium">
        <color rgb="FF0B5394"/>
      </bottom>
    </border>
    <border>
      <left style="thin">
        <color rgb="FFFFFFFF"/>
      </left>
      <right style="medium">
        <color rgb="FF0B5394"/>
      </right>
      <top style="medium">
        <color rgb="FF0B5394"/>
      </top>
      <bottom style="medium">
        <color rgb="FF0B5394"/>
      </bottom>
    </border>
    <border>
      <left style="medium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2E4CA1"/>
      </left>
      <top style="thin">
        <color rgb="FF2E4CA1"/>
      </top>
      <bottom style="thin">
        <color rgb="FF2E4CA1"/>
      </bottom>
    </border>
    <border>
      <top style="thin">
        <color rgb="FF2E4CA1"/>
      </top>
      <bottom style="thin">
        <color rgb="FF2E4CA1"/>
      </bottom>
    </border>
    <border>
      <right style="thin">
        <color rgb="FF2E4CA1"/>
      </right>
      <top style="thin">
        <color rgb="FF2E4CA1"/>
      </top>
      <bottom style="thin">
        <color rgb="FF2E4CA1"/>
      </bottom>
    </border>
    <border>
      <left style="medium">
        <color rgb="FF0B5394"/>
      </left>
      <right style="thin">
        <color rgb="FF0B5394"/>
      </right>
      <top style="thin">
        <color rgb="FF0B5394"/>
      </top>
      <bottom style="medium">
        <color rgb="FF0B5394"/>
      </bottom>
    </border>
    <border>
      <bottom style="medium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medium">
        <color rgb="FF0B5394"/>
      </bottom>
    </border>
    <border>
      <right style="medium">
        <color rgb="FF2E4CA1"/>
      </right>
      <bottom style="medium">
        <color rgb="FF0B5394"/>
      </bottom>
    </border>
    <border>
      <left style="thin">
        <color rgb="FF2E4CA1"/>
      </left>
    </border>
    <border>
      <right style="thin">
        <color rgb="FF2E4CA1"/>
      </right>
    </border>
    <border>
      <left style="thin">
        <color rgb="FF2E4CA1"/>
      </left>
      <bottom style="thin">
        <color rgb="FF2E4CA1"/>
      </bottom>
    </border>
    <border>
      <right style="thin">
        <color rgb="FF2E4CA1"/>
      </right>
      <bottom style="thin">
        <color rgb="FF2E4CA1"/>
      </bottom>
    </border>
    <border>
      <left style="medium">
        <color rgb="FF0B5394"/>
      </left>
      <right style="medium">
        <color rgb="FF0B5394"/>
      </right>
      <top style="medium">
        <color rgb="FF0B5394"/>
      </top>
      <bottom style="thin">
        <color rgb="FFFFFFFF"/>
      </bottom>
    </border>
    <border>
      <left style="medium">
        <color rgb="FF2E4CA1"/>
      </left>
      <right style="medium">
        <color rgb="FFFFFFFF"/>
      </right>
      <top style="medium">
        <color rgb="FF2E4CA1"/>
      </top>
      <bottom style="medium">
        <color rgb="FF2E4CA1"/>
      </bottom>
    </border>
    <border>
      <left style="medium">
        <color rgb="FFFFFFFF"/>
      </left>
      <right style="medium">
        <color rgb="FFFFFFFF"/>
      </right>
      <top style="medium">
        <color rgb="FF2E4CA1"/>
      </top>
      <bottom style="medium">
        <color rgb="FF2E4CA1"/>
      </bottom>
    </border>
    <border>
      <left style="medium">
        <color rgb="FFFFFFFF"/>
      </left>
      <right style="medium">
        <color rgb="FF2E4CA1"/>
      </right>
      <top style="medium">
        <color rgb="FF2E4CA1"/>
      </top>
      <bottom style="medium">
        <color rgb="FF2E4CA1"/>
      </bottom>
    </border>
    <border>
      <left style="thin">
        <color rgb="FF2E4CA1"/>
      </left>
      <right style="thin">
        <color rgb="FFFFFFFF"/>
      </right>
      <bottom style="medium">
        <color rgb="FF0B5394"/>
      </bottom>
    </border>
    <border>
      <left style="thin">
        <color rgb="FFFFFFFF"/>
      </left>
      <right style="thin">
        <color rgb="FFFFFFFF"/>
      </right>
      <bottom style="medium">
        <color rgb="FF0B5394"/>
      </bottom>
    </border>
    <border>
      <left style="thin">
        <color rgb="FFFFFFFF"/>
      </left>
      <bottom style="medium">
        <color rgb="FF0B5394"/>
      </bottom>
    </border>
    <border>
      <left style="thin">
        <color rgb="FFFFFFFF"/>
      </left>
      <right style="medium">
        <color rgb="FF0B5394"/>
      </right>
      <bottom style="medium">
        <color rgb="FF0B5394"/>
      </bottom>
    </border>
    <border>
      <left style="thin">
        <color rgb="FF2E4CA1"/>
      </left>
      <right style="thin">
        <color rgb="FF2E4CA1"/>
      </right>
      <top style="thin">
        <color rgb="FF2E4CA1"/>
      </top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2E4CA1"/>
      </left>
      <right style="thin">
        <color rgb="FF2E4CA1"/>
      </right>
    </border>
    <border>
      <left style="thin">
        <color rgb="FF000000"/>
      </left>
      <top style="thin">
        <color rgb="FFF8F9FA"/>
      </top>
      <bottom style="thin">
        <color rgb="FFF8F9FA"/>
      </bottom>
    </border>
    <border>
      <bottom style="thin">
        <color rgb="FF2E4CA1"/>
      </bottom>
    </border>
    <border>
      <left style="thin">
        <color rgb="FF2E4CA1"/>
      </left>
      <right style="thin">
        <color rgb="FF000000"/>
      </right>
      <bottom style="thin">
        <color rgb="FF2E4CA1"/>
      </bottom>
    </border>
    <border>
      <top style="thin">
        <color rgb="FFFFFFFF"/>
      </top>
      <bottom style="thin">
        <color rgb="FFFFFFFF"/>
      </bottom>
    </border>
    <border>
      <top style="thin">
        <color rgb="FFF8F9FA"/>
      </top>
      <bottom style="thin">
        <color rgb="FFF8F9FA"/>
      </bottom>
    </border>
    <border>
      <left style="thin">
        <color rgb="FF000000"/>
      </left>
      <top style="thin">
        <color rgb="FFFFFFFF"/>
      </top>
      <bottom style="thin">
        <color rgb="FF2E4CA1"/>
      </bottom>
    </border>
    <border>
      <top style="thin">
        <color rgb="FFFFFFFF"/>
      </top>
      <bottom style="thin">
        <color rgb="FF2E4CA1"/>
      </bottom>
    </border>
    <border>
      <left style="thin">
        <color rgb="FF2E4CA1"/>
      </left>
      <right style="thin">
        <color rgb="FF2E4CA1"/>
      </right>
      <bottom style="thin">
        <color rgb="FF2E4CA1"/>
      </bottom>
    </border>
    <border>
      <left style="thin">
        <color rgb="FF2E4CA1"/>
      </left>
      <right style="thin">
        <color rgb="FF2E4CA1"/>
      </right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49" xfId="0" applyAlignment="1" applyBorder="1" applyFill="1" applyFont="1" applyNumberForma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2" numFmtId="49" xfId="0" applyAlignment="1" applyBorder="1" applyFill="1" applyFont="1" applyNumberForma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2" fillId="3" fontId="2" numFmtId="49" xfId="0" applyAlignment="1" applyBorder="1" applyFont="1" applyNumberFormat="1">
      <alignment readingOrder="0" shrinkToFit="0" vertical="center" wrapText="0"/>
    </xf>
    <xf borderId="1" fillId="2" fontId="2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3" fillId="2" fontId="2" numFmtId="49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horizontal="right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5" fillId="2" fontId="2" numFmtId="49" xfId="0" applyAlignment="1" applyBorder="1" applyFont="1" applyNumberFormat="1">
      <alignment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2" fillId="3" fontId="3" numFmtId="0" xfId="0" applyAlignment="1" applyBorder="1" applyFont="1">
      <alignment horizontal="right"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6" fillId="4" fontId="4" numFmtId="0" xfId="0" applyAlignment="1" applyBorder="1" applyFill="1" applyFont="1">
      <alignment horizontal="center" readingOrder="0"/>
    </xf>
    <xf borderId="7" fillId="0" fontId="5" numFmtId="0" xfId="0" applyBorder="1" applyFont="1"/>
    <xf borderId="8" fillId="0" fontId="5" numFmtId="0" xfId="0" applyBorder="1" applyFont="1"/>
    <xf borderId="9" fillId="0" fontId="1" numFmtId="0" xfId="0" applyAlignment="1" applyBorder="1" applyFont="1">
      <alignment horizontal="center" readingOrder="0"/>
    </xf>
    <xf borderId="10" fillId="4" fontId="4" numFmtId="0" xfId="0" applyAlignment="1" applyBorder="1" applyFont="1">
      <alignment horizontal="center" readingOrder="0"/>
    </xf>
    <xf borderId="10" fillId="0" fontId="5" numFmtId="0" xfId="0" applyBorder="1" applyFont="1"/>
    <xf borderId="11" fillId="0" fontId="5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0" fillId="5" fontId="6" numFmtId="0" xfId="0" applyAlignment="1" applyFill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9" fillId="0" fontId="5" numFmtId="0" xfId="0" applyBorder="1" applyFont="1"/>
    <xf borderId="16" fillId="0" fontId="1" numFmtId="0" xfId="0" applyAlignment="1" applyBorder="1" applyFont="1">
      <alignment readingOrder="0"/>
    </xf>
    <xf borderId="0" fillId="6" fontId="7" numFmtId="0" xfId="0" applyAlignment="1" applyFill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18" fillId="0" fontId="5" numFmtId="0" xfId="0" applyBorder="1" applyFont="1"/>
    <xf borderId="9" fillId="0" fontId="1" numFmtId="0" xfId="0" applyAlignment="1" applyBorder="1" applyFont="1">
      <alignment readingOrder="0"/>
    </xf>
    <xf borderId="19" fillId="7" fontId="8" numFmtId="0" xfId="0" applyAlignment="1" applyBorder="1" applyFill="1" applyFont="1">
      <alignment horizontal="center" readingOrder="0"/>
    </xf>
    <xf borderId="20" fillId="7" fontId="8" numFmtId="0" xfId="0" applyAlignment="1" applyBorder="1" applyFont="1">
      <alignment horizontal="center" readingOrder="0"/>
    </xf>
    <xf borderId="21" fillId="7" fontId="8" numFmtId="0" xfId="0" applyAlignment="1" applyBorder="1" applyFont="1">
      <alignment horizontal="center" readingOrder="0"/>
    </xf>
    <xf borderId="17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23" fillId="7" fontId="8" numFmtId="0" xfId="0" applyAlignment="1" applyBorder="1" applyFont="1">
      <alignment horizontal="center" readingOrder="0"/>
    </xf>
    <xf borderId="24" fillId="7" fontId="8" numFmtId="0" xfId="0" applyAlignment="1" applyBorder="1" applyFont="1">
      <alignment horizontal="center" readingOrder="0"/>
    </xf>
    <xf borderId="25" fillId="7" fontId="8" numFmtId="0" xfId="0" applyAlignment="1" applyBorder="1" applyFont="1">
      <alignment horizontal="center" readingOrder="0"/>
    </xf>
    <xf borderId="26" fillId="7" fontId="8" numFmtId="0" xfId="0" applyAlignment="1" applyBorder="1" applyFont="1">
      <alignment horizontal="center" readingOrder="0"/>
    </xf>
    <xf borderId="16" fillId="8" fontId="1" numFmtId="0" xfId="0" applyAlignment="1" applyBorder="1" applyFill="1" applyFont="1">
      <alignment readingOrder="0"/>
    </xf>
    <xf borderId="0" fillId="8" fontId="1" numFmtId="0" xfId="0" applyAlignment="1" applyFont="1">
      <alignment readingOrder="0"/>
    </xf>
    <xf borderId="14" fillId="8" fontId="1" numFmtId="0" xfId="0" applyAlignment="1" applyBorder="1" applyFont="1">
      <alignment readingOrder="0"/>
    </xf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0" fillId="0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9" fillId="8" fontId="1" numFmtId="0" xfId="0" applyAlignment="1" applyBorder="1" applyFont="1">
      <alignment horizontal="center" readingOrder="0"/>
    </xf>
    <xf borderId="33" fillId="7" fontId="8" numFmtId="0" xfId="0" applyAlignment="1" applyBorder="1" applyFont="1">
      <alignment horizontal="center" readingOrder="0"/>
    </xf>
    <xf borderId="34" fillId="7" fontId="8" numFmtId="0" xfId="0" applyAlignment="1" applyBorder="1" applyFont="1">
      <alignment horizontal="center" readingOrder="0"/>
    </xf>
    <xf borderId="35" fillId="8" fontId="1" numFmtId="0" xfId="0" applyAlignment="1" applyBorder="1" applyFont="1">
      <alignment readingOrder="0"/>
    </xf>
    <xf borderId="36" fillId="8" fontId="1" numFmtId="0" xfId="0" applyAlignment="1" applyBorder="1" applyFont="1">
      <alignment readingOrder="0"/>
    </xf>
    <xf borderId="37" fillId="8" fontId="1" numFmtId="0" xfId="0" applyAlignment="1" applyBorder="1" applyFont="1">
      <alignment readingOrder="0"/>
    </xf>
    <xf borderId="38" fillId="7" fontId="8" numFmtId="0" xfId="0" applyAlignment="1" applyBorder="1" applyFont="1">
      <alignment horizontal="center" readingOrder="0"/>
    </xf>
    <xf borderId="39" fillId="4" fontId="4" numFmtId="0" xfId="0" applyAlignment="1" applyBorder="1" applyFont="1">
      <alignment horizontal="center" readingOrder="0"/>
    </xf>
    <xf borderId="40" fillId="0" fontId="5" numFmtId="0" xfId="0" applyBorder="1" applyFont="1"/>
    <xf borderId="41" fillId="0" fontId="5" numFmtId="0" xfId="0" applyBorder="1" applyFont="1"/>
    <xf borderId="42" fillId="7" fontId="8" numFmtId="0" xfId="0" applyAlignment="1" applyBorder="1" applyFont="1">
      <alignment horizontal="center" readingOrder="0"/>
    </xf>
    <xf borderId="43" fillId="0" fontId="1" numFmtId="0" xfId="0" applyAlignment="1" applyBorder="1" applyFont="1">
      <alignment horizontal="center" readingOrder="0"/>
    </xf>
    <xf borderId="43" fillId="8" fontId="1" numFmtId="0" xfId="0" applyAlignment="1" applyBorder="1" applyFont="1">
      <alignment horizontal="center" readingOrder="0"/>
    </xf>
    <xf borderId="44" fillId="7" fontId="8" numFmtId="0" xfId="0" applyAlignment="1" applyBorder="1" applyFont="1">
      <alignment horizontal="center" readingOrder="0"/>
    </xf>
    <xf borderId="45" fillId="0" fontId="1" numFmtId="0" xfId="0" applyAlignment="1" applyBorder="1" applyFont="1">
      <alignment horizontal="center" readingOrder="0"/>
    </xf>
    <xf borderId="27" fillId="8" fontId="1" numFmtId="0" xfId="0" applyAlignment="1" applyBorder="1" applyFont="1">
      <alignment horizontal="center" readingOrder="0"/>
    </xf>
    <xf borderId="46" fillId="0" fontId="1" numFmtId="0" xfId="0" applyAlignment="1" applyBorder="1" applyFont="1">
      <alignment readingOrder="0"/>
    </xf>
    <xf borderId="47" fillId="0" fontId="1" numFmtId="0" xfId="0" applyAlignment="1" applyBorder="1" applyFont="1">
      <alignment readingOrder="0"/>
    </xf>
    <xf borderId="46" fillId="8" fontId="1" numFmtId="0" xfId="0" applyAlignment="1" applyBorder="1" applyFont="1">
      <alignment readingOrder="0"/>
    </xf>
    <xf borderId="47" fillId="8" fontId="1" numFmtId="0" xfId="0" applyAlignment="1" applyBorder="1" applyFont="1">
      <alignment readingOrder="0"/>
    </xf>
    <xf borderId="48" fillId="8" fontId="1" numFmtId="0" xfId="0" applyAlignment="1" applyBorder="1" applyFont="1">
      <alignment readingOrder="0"/>
    </xf>
    <xf borderId="49" fillId="8" fontId="1" numFmtId="0" xfId="0" applyAlignment="1" applyBorder="1" applyFont="1">
      <alignment readingOrder="0"/>
    </xf>
    <xf borderId="50" fillId="0" fontId="1" numFmtId="0" xfId="0" applyAlignment="1" applyBorder="1" applyFont="1">
      <alignment horizontal="center" readingOrder="0"/>
    </xf>
    <xf borderId="18" fillId="8" fontId="1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 shrinkToFit="0" vertical="center" wrapText="1"/>
    </xf>
    <xf borderId="51" fillId="0" fontId="1" numFmtId="0" xfId="0" applyBorder="1" applyFont="1"/>
    <xf borderId="52" fillId="0" fontId="1" numFmtId="0" xfId="0" applyBorder="1" applyFont="1"/>
    <xf borderId="53" fillId="0" fontId="1" numFmtId="0" xfId="0" applyBorder="1" applyFont="1"/>
    <xf borderId="54" fillId="0" fontId="1" numFmtId="0" xfId="0" applyBorder="1" applyFont="1"/>
    <xf borderId="55" fillId="0" fontId="1" numFmtId="0" xfId="0" applyBorder="1" applyFont="1"/>
    <xf borderId="56" fillId="0" fontId="1" numFmtId="0" xfId="0" applyBorder="1" applyFont="1"/>
    <xf borderId="57" fillId="0" fontId="1" numFmtId="0" xfId="0" applyBorder="1" applyFont="1"/>
    <xf borderId="12" fillId="4" fontId="9" numFmtId="0" xfId="0" applyAlignment="1" applyBorder="1" applyFont="1">
      <alignment horizontal="center" readingOrder="0"/>
    </xf>
    <xf borderId="6" fillId="4" fontId="10" numFmtId="0" xfId="0" applyAlignment="1" applyBorder="1" applyFont="1">
      <alignment horizontal="center" readingOrder="0"/>
    </xf>
    <xf borderId="58" fillId="4" fontId="10" numFmtId="0" xfId="0" applyAlignment="1" applyBorder="1" applyFont="1">
      <alignment horizontal="center" readingOrder="0"/>
    </xf>
    <xf borderId="59" fillId="4" fontId="11" numFmtId="0" xfId="0" applyAlignment="1" applyBorder="1" applyFont="1">
      <alignment readingOrder="0" shrinkToFit="0" wrapText="0"/>
    </xf>
    <xf borderId="46" fillId="2" fontId="3" numFmtId="0" xfId="0" applyAlignment="1" applyBorder="1" applyFont="1">
      <alignment readingOrder="0" shrinkToFit="0" wrapText="0"/>
    </xf>
    <xf borderId="47" fillId="2" fontId="3" numFmtId="0" xfId="0" applyAlignment="1" applyBorder="1" applyFont="1">
      <alignment readingOrder="0" shrinkToFit="0" wrapText="0"/>
    </xf>
    <xf borderId="46" fillId="2" fontId="3" numFmtId="0" xfId="0" applyAlignment="1" applyBorder="1" applyFont="1">
      <alignment readingOrder="0" shrinkToFit="0" wrapText="0"/>
    </xf>
    <xf borderId="47" fillId="2" fontId="3" numFmtId="0" xfId="0" applyAlignment="1" applyBorder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60" fillId="0" fontId="1" numFmtId="0" xfId="0" applyBorder="1" applyFont="1"/>
    <xf borderId="61" fillId="4" fontId="11" numFmtId="0" xfId="0" applyAlignment="1" applyBorder="1" applyFont="1">
      <alignment shrinkToFit="0" wrapText="0"/>
    </xf>
    <xf borderId="46" fillId="3" fontId="3" numFmtId="0" xfId="0" applyAlignment="1" applyBorder="1" applyFont="1">
      <alignment shrinkToFit="0" wrapText="0"/>
    </xf>
    <xf borderId="47" fillId="3" fontId="3" numFmtId="0" xfId="0" applyAlignment="1" applyBorder="1" applyFont="1">
      <alignment shrinkToFit="0" wrapText="0"/>
    </xf>
    <xf borderId="46" fillId="3" fontId="3" numFmtId="0" xfId="0" applyAlignment="1" applyBorder="1" applyFont="1">
      <alignment readingOrder="0" shrinkToFit="0" wrapText="0"/>
    </xf>
    <xf borderId="47" fillId="3" fontId="3" numFmtId="0" xfId="0" applyAlignment="1" applyBorder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0" fillId="3" fontId="3" numFmtId="0" xfId="0" applyAlignment="1" applyFont="1">
      <alignment shrinkToFit="0" wrapText="0"/>
    </xf>
    <xf borderId="59" fillId="4" fontId="11" numFmtId="0" xfId="0" applyAlignment="1" applyBorder="1" applyFont="1">
      <alignment shrinkToFit="0" wrapText="0"/>
    </xf>
    <xf borderId="61" fillId="4" fontId="11" numFmtId="0" xfId="0" applyAlignment="1" applyBorder="1" applyFont="1">
      <alignment readingOrder="0" shrinkToFit="0" wrapText="0"/>
    </xf>
    <xf borderId="46" fillId="2" fontId="3" numFmtId="0" xfId="0" applyAlignment="1" applyBorder="1" applyFont="1">
      <alignment shrinkToFit="0" wrapText="0"/>
    </xf>
    <xf borderId="47" fillId="2" fontId="3" numFmtId="0" xfId="0" applyAlignment="1" applyBorder="1" applyFont="1">
      <alignment shrinkToFit="0" wrapText="0"/>
    </xf>
    <xf borderId="0" fillId="2" fontId="3" numFmtId="0" xfId="0" applyAlignment="1" applyFont="1">
      <alignment shrinkToFit="0" wrapText="0"/>
    </xf>
    <xf borderId="60" fillId="2" fontId="3" numFmtId="0" xfId="0" applyAlignment="1" applyBorder="1" applyFont="1">
      <alignment shrinkToFit="0" wrapText="0"/>
    </xf>
    <xf borderId="46" fillId="3" fontId="3" numFmtId="0" xfId="0" applyAlignment="1" applyBorder="1" applyFont="1">
      <alignment readingOrder="0" shrinkToFit="0" wrapText="0"/>
    </xf>
    <xf borderId="47" fillId="3" fontId="3" numFmtId="0" xfId="0" applyAlignment="1" applyBorder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35" fillId="4" fontId="11" numFmtId="0" xfId="0" applyAlignment="1" applyBorder="1" applyFont="1">
      <alignment shrinkToFit="0" wrapText="0"/>
    </xf>
    <xf borderId="48" fillId="2" fontId="3" numFmtId="0" xfId="0" applyAlignment="1" applyBorder="1" applyFont="1">
      <alignment shrinkToFit="0" wrapText="0"/>
    </xf>
    <xf borderId="49" fillId="2" fontId="3" numFmtId="0" xfId="0" applyAlignment="1" applyBorder="1" applyFont="1">
      <alignment shrinkToFit="0" wrapText="0"/>
    </xf>
    <xf borderId="48" fillId="2" fontId="3" numFmtId="0" xfId="0" applyAlignment="1" applyBorder="1" applyFont="1">
      <alignment readingOrder="0" shrinkToFit="0" wrapText="0"/>
    </xf>
    <xf borderId="49" fillId="2" fontId="3" numFmtId="0" xfId="0" applyAlignment="1" applyBorder="1" applyFont="1">
      <alignment readingOrder="0" shrinkToFit="0" wrapText="0"/>
    </xf>
    <xf borderId="62" fillId="2" fontId="3" numFmtId="0" xfId="0" applyAlignment="1" applyBorder="1" applyFont="1">
      <alignment shrinkToFit="0" wrapText="0"/>
    </xf>
    <xf borderId="63" fillId="0" fontId="1" numFmtId="0" xfId="0" applyBorder="1" applyFont="1"/>
    <xf borderId="62" fillId="0" fontId="1" numFmtId="0" xfId="0" applyBorder="1" applyFont="1"/>
    <xf borderId="59" fillId="4" fontId="11" numFmtId="0" xfId="0" applyAlignment="1" applyBorder="1" applyFont="1">
      <alignment horizontal="center" readingOrder="0" shrinkToFit="0" wrapText="0"/>
    </xf>
    <xf borderId="64" fillId="0" fontId="5" numFmtId="0" xfId="0" applyBorder="1" applyFont="1"/>
    <xf borderId="61" fillId="4" fontId="11" numFmtId="0" xfId="0" applyAlignment="1" applyBorder="1" applyFont="1">
      <alignment horizontal="center" readingOrder="0" shrinkToFit="0" wrapText="0"/>
    </xf>
    <xf borderId="65" fillId="0" fontId="5" numFmtId="0" xfId="0" applyBorder="1" applyFont="1"/>
    <xf borderId="66" fillId="4" fontId="11" numFmtId="0" xfId="0" applyAlignment="1" applyBorder="1" applyFont="1">
      <alignment horizontal="center" readingOrder="0" shrinkToFit="0" wrapText="0"/>
    </xf>
    <xf borderId="67" fillId="0" fontId="5" numFmtId="0" xfId="0" applyBorder="1" applyFont="1"/>
    <xf borderId="66" fillId="4" fontId="11" numFmtId="0" xfId="0" applyAlignment="1" applyBorder="1" applyFont="1">
      <alignment readingOrder="0" shrinkToFit="0" wrapText="0"/>
    </xf>
    <xf borderId="68" fillId="0" fontId="1" numFmtId="0" xfId="0" applyBorder="1" applyFont="1"/>
    <xf borderId="48" fillId="3" fontId="3" numFmtId="0" xfId="0" applyAlignment="1" applyBorder="1" applyFont="1">
      <alignment shrinkToFit="0" wrapText="0"/>
    </xf>
    <xf borderId="49" fillId="3" fontId="3" numFmtId="0" xfId="0" applyAlignment="1" applyBorder="1" applyFont="1">
      <alignment shrinkToFit="0" wrapText="0"/>
    </xf>
    <xf borderId="62" fillId="3" fontId="3" numFmtId="0" xfId="0" applyAlignment="1" applyBorder="1" applyFont="1">
      <alignment readingOrder="0" shrinkToFit="0" wrapText="0"/>
    </xf>
    <xf borderId="48" fillId="3" fontId="3" numFmtId="0" xfId="0" applyAlignment="1" applyBorder="1" applyFont="1">
      <alignment readingOrder="0" shrinkToFit="0" wrapText="0"/>
    </xf>
    <xf borderId="49" fillId="3" fontId="3" numFmtId="0" xfId="0" applyAlignment="1" applyBorder="1" applyFont="1">
      <alignment readingOrder="0" shrinkToFit="0" wrapText="0"/>
    </xf>
    <xf borderId="16" fillId="4" fontId="11" numFmtId="0" xfId="0" applyAlignment="1" applyBorder="1" applyFont="1">
      <alignment horizontal="center" readingOrder="0" shrinkToFit="0" wrapText="0"/>
    </xf>
    <xf borderId="16" fillId="4" fontId="11" numFmtId="0" xfId="0" applyAlignment="1" applyBorder="1" applyFont="1">
      <alignment readingOrder="0" shrinkToFit="0" wrapText="0"/>
    </xf>
    <xf borderId="62" fillId="3" fontId="3" numFmtId="0" xfId="0" applyAlignment="1" applyBorder="1" applyFont="1">
      <alignment shrinkToFit="0" wrapText="0"/>
    </xf>
    <xf borderId="0" fillId="4" fontId="11" numFmtId="0" xfId="0" applyAlignment="1" applyFont="1">
      <alignment horizontal="center" readingOrder="0" shrinkToFit="0" wrapText="0"/>
    </xf>
    <xf borderId="0" fillId="2" fontId="3" numFmtId="0" xfId="0" applyAlignment="1" applyFont="1">
      <alignment readingOrder="0" shrinkToFit="0" wrapText="0"/>
    </xf>
    <xf borderId="47" fillId="0" fontId="1" numFmtId="0" xfId="0" applyBorder="1" applyFont="1"/>
    <xf borderId="0" fillId="4" fontId="11" numFmtId="0" xfId="0" applyAlignment="1" applyFont="1">
      <alignment readingOrder="0" shrinkToFit="0" wrapText="0"/>
    </xf>
    <xf borderId="49" fillId="0" fontId="1" numFmtId="0" xfId="0" applyBorder="1" applyFont="1"/>
    <xf borderId="69" fillId="0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2E4CA1"/>
          <bgColor rgb="FF2E4CA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2E4CA1"/>
        </left>
        <right style="thin">
          <color rgb="FF2E4CA1"/>
        </right>
        <top style="thin">
          <color rgb="FF2E4CA1"/>
        </top>
        <bottom style="thin">
          <color rgb="FF2E4CA1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10">
    <tableStyle count="4" pivot="0" name="Contact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ens Singles-style">
      <tableStyleElement dxfId="2" type="firstRowStripe"/>
      <tableStyleElement dxfId="5" type="secondRowStripe"/>
    </tableStyle>
    <tableStyle count="2" pivot="0" name="Mens Singles-style 2">
      <tableStyleElement dxfId="5" type="firstRowStripe"/>
      <tableStyleElement dxfId="2" type="secondRowStripe"/>
    </tableStyle>
    <tableStyle count="2" pivot="0" name="Mens Doubles-style">
      <tableStyleElement dxfId="2" type="firstRowStripe"/>
      <tableStyleElement dxfId="5" type="secondRowStripe"/>
    </tableStyle>
    <tableStyle count="2" pivot="0" name="Mixed Doubles-style">
      <tableStyleElement dxfId="2" type="firstRowStripe"/>
      <tableStyleElement dxfId="5" type="secondRowStripe"/>
    </tableStyle>
    <tableStyle count="2" pivot="0" name="Ladies Doubles-style">
      <tableStyleElement dxfId="2" type="firstRowStripe"/>
      <tableStyleElement dxfId="5" type="secondRowStripe"/>
    </tableStyle>
    <tableStyle count="2" pivot="0" name="Ladies Singles-style">
      <tableStyleElement dxfId="2" type="firstRowStripe"/>
      <tableStyleElement dxfId="5" type="secondRowStripe"/>
    </tableStyle>
    <tableStyle count="2" pivot="0" name="Boys Singles-style">
      <tableStyleElement dxfId="2" type="firstRowStripe"/>
      <tableStyleElement dxfId="5" type="secondRowStripe"/>
    </tableStyle>
    <tableStyle count="2" pivot="0" name="Boys Doubles-style">
      <tableStyleElement dxfId="2" type="firstRowStripe"/>
      <tableStyleElement dxfId="5" type="secondRowStripe"/>
    </tableStyle>
    <tableStyle count="2" pivot="0" name="Mens 40+ Singles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200650" cy="7353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C52" displayName="Contact_Details" name="Contact_Details" id="1">
  <tableColumns count="3">
    <tableColumn name="Name" id="1"/>
    <tableColumn name="Phone" id="2"/>
    <tableColumn name="Category" id="3"/>
  </tableColumns>
  <tableStyleInfo name="Contact Detail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O21" displayName="Table_1" name="Table_1" id="2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Mens Singles-style" showColumnStripes="0" showFirstColumn="1" showLastColumn="1" showRowStripes="1"/>
</table>
</file>

<file path=xl/tables/table3.xml><?xml version="1.0" encoding="utf-8"?>
<table xmlns="http://schemas.openxmlformats.org/spreadsheetml/2006/main" headerRowCount="0" ref="AP21:AQ21" displayName="Table_2" name="Table_2" id="3">
  <tableColumns count="2">
    <tableColumn name="Column1" id="1"/>
    <tableColumn name="Column2" id="2"/>
  </tableColumns>
  <tableStyleInfo name="Mens Singl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2:S10" displayName="Table_3" name="Table_3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Mens Doubles-style" showColumnStripes="0" showFirstColumn="1" showLastColumn="1" showRowStripes="1"/>
</table>
</file>

<file path=xl/tables/table5.xml><?xml version="1.0" encoding="utf-8"?>
<table xmlns="http://schemas.openxmlformats.org/spreadsheetml/2006/main" headerRowCount="0" ref="A2:O8" displayName="Table_4" name="Table_4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ixed Doubles-style" showColumnStripes="0" showFirstColumn="1" showLastColumn="1" showRowStripes="1"/>
</table>
</file>

<file path=xl/tables/table6.xml><?xml version="1.0" encoding="utf-8"?>
<table xmlns="http://schemas.openxmlformats.org/spreadsheetml/2006/main" headerRowCount="0" ref="A2:M7" displayName="Table_5" name="Table_5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adies Doubles-style" showColumnStripes="0" showFirstColumn="1" showLastColumn="1" showRowStripes="1"/>
</table>
</file>

<file path=xl/tables/table7.xml><?xml version="1.0" encoding="utf-8"?>
<table xmlns="http://schemas.openxmlformats.org/spreadsheetml/2006/main" headerRowCount="0" ref="A2:K6" displayName="Table_6" name="Table_6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adies Singles-style" showColumnStripes="0" showFirstColumn="1" showLastColumn="1" showRowStripes="1"/>
</table>
</file>

<file path=xl/tables/table8.xml><?xml version="1.0" encoding="utf-8"?>
<table xmlns="http://schemas.openxmlformats.org/spreadsheetml/2006/main" headerRowCount="0" ref="A2:U11" displayName="Table_7" name="Table_7" id="8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Boys Singles-style" showColumnStripes="0" showFirstColumn="1" showLastColumn="1" showRowStripes="1"/>
</table>
</file>

<file path=xl/tables/table9.xml><?xml version="1.0" encoding="utf-8"?>
<table xmlns="http://schemas.openxmlformats.org/spreadsheetml/2006/main" headerRowCount="0" ref="A2:K6" displayName="Table_8" name="Table_8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ys Doubles-style" showColumnStripes="0" showFirstColumn="1" showLastColumn="1" showRowStripes="1"/>
</table>
</file>

<file path=xl/tables/table10.xml><?xml version="1.0" encoding="utf-8"?>
<table xmlns="http://schemas.openxmlformats.org/spreadsheetml/2006/main" headerRowCount="0" ref="A2:Q9" displayName="Table_9" name="Table_9" id="1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ens 40+ Sing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2.63"/>
    <col customWidth="1" min="3" max="3" width="3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>
        <v>9.89025126E9</v>
      </c>
      <c r="C2" s="4" t="s">
        <v>4</v>
      </c>
    </row>
    <row r="3" ht="22.5" customHeight="1">
      <c r="A3" s="5" t="s">
        <v>5</v>
      </c>
      <c r="B3" s="6">
        <v>9.8230243E9</v>
      </c>
      <c r="C3" s="4" t="s">
        <v>4</v>
      </c>
    </row>
    <row r="4" ht="22.5" customHeight="1">
      <c r="A4" s="2" t="s">
        <v>6</v>
      </c>
      <c r="B4" s="3">
        <v>9.999991697E9</v>
      </c>
      <c r="C4" s="4" t="s">
        <v>4</v>
      </c>
    </row>
    <row r="5" ht="22.5" customHeight="1">
      <c r="A5" s="5" t="s">
        <v>7</v>
      </c>
      <c r="B5" s="6">
        <v>9.999991697E9</v>
      </c>
      <c r="C5" s="4" t="s">
        <v>4</v>
      </c>
    </row>
    <row r="6" ht="22.5" customHeight="1">
      <c r="A6" s="2" t="s">
        <v>8</v>
      </c>
      <c r="B6" s="3">
        <v>9.822124202E9</v>
      </c>
      <c r="C6" s="4" t="s">
        <v>4</v>
      </c>
    </row>
    <row r="7" ht="22.5" customHeight="1">
      <c r="A7" s="5" t="s">
        <v>9</v>
      </c>
      <c r="B7" s="7">
        <v>8.99954966E9</v>
      </c>
      <c r="C7" s="4" t="s">
        <v>4</v>
      </c>
    </row>
    <row r="8" ht="22.5" customHeight="1">
      <c r="A8" s="2" t="s">
        <v>10</v>
      </c>
      <c r="B8" s="3">
        <v>9.764582555E9</v>
      </c>
      <c r="C8" s="4" t="s">
        <v>4</v>
      </c>
    </row>
    <row r="9" ht="22.5" customHeight="1">
      <c r="A9" s="8" t="s">
        <v>11</v>
      </c>
      <c r="B9" s="6">
        <v>9.763091025E9</v>
      </c>
      <c r="C9" s="4" t="s">
        <v>4</v>
      </c>
    </row>
    <row r="10" ht="22.5" customHeight="1">
      <c r="A10" s="2" t="s">
        <v>12</v>
      </c>
      <c r="B10" s="3">
        <v>9.822138641E9</v>
      </c>
      <c r="C10" s="4" t="s">
        <v>4</v>
      </c>
    </row>
    <row r="11" ht="22.5" customHeight="1">
      <c r="A11" s="5" t="s">
        <v>13</v>
      </c>
      <c r="B11" s="6">
        <v>7.249523763E9</v>
      </c>
      <c r="C11" s="4" t="s">
        <v>4</v>
      </c>
    </row>
    <row r="12" ht="22.5" customHeight="1">
      <c r="A12" s="9" t="s">
        <v>14</v>
      </c>
      <c r="B12" s="10">
        <v>7.620479995E9</v>
      </c>
      <c r="C12" s="4" t="s">
        <v>4</v>
      </c>
    </row>
    <row r="13" ht="22.5" customHeight="1">
      <c r="A13" s="8" t="s">
        <v>15</v>
      </c>
      <c r="B13" s="10">
        <v>9.765788335E9</v>
      </c>
      <c r="C13" s="4" t="s">
        <v>4</v>
      </c>
    </row>
    <row r="14" ht="22.5" customHeight="1">
      <c r="A14" s="2" t="s">
        <v>16</v>
      </c>
      <c r="B14" s="11">
        <v>9.8230243E9</v>
      </c>
      <c r="C14" s="4" t="s">
        <v>17</v>
      </c>
    </row>
    <row r="15" ht="22.5" customHeight="1">
      <c r="A15" s="5" t="s">
        <v>18</v>
      </c>
      <c r="B15" s="12">
        <v>9.921880669E9</v>
      </c>
      <c r="C15" s="4" t="s">
        <v>17</v>
      </c>
    </row>
    <row r="16" ht="22.5" customHeight="1">
      <c r="A16" s="2" t="s">
        <v>19</v>
      </c>
      <c r="B16" s="11">
        <v>7.620686316E9</v>
      </c>
      <c r="C16" s="4" t="s">
        <v>17</v>
      </c>
    </row>
    <row r="17" ht="22.5" customHeight="1">
      <c r="A17" s="5" t="s">
        <v>20</v>
      </c>
      <c r="B17" s="12">
        <v>9.403214749E9</v>
      </c>
      <c r="C17" s="4" t="s">
        <v>17</v>
      </c>
    </row>
    <row r="18" ht="22.5" customHeight="1">
      <c r="A18" s="2" t="s">
        <v>21</v>
      </c>
      <c r="B18" s="11">
        <v>9.922070846E9</v>
      </c>
      <c r="C18" s="4" t="s">
        <v>17</v>
      </c>
    </row>
    <row r="19" ht="22.5" customHeight="1">
      <c r="A19" s="5" t="s">
        <v>22</v>
      </c>
      <c r="B19" s="11">
        <v>7.71992817E9</v>
      </c>
      <c r="C19" s="4" t="s">
        <v>17</v>
      </c>
    </row>
    <row r="20" ht="22.5" customHeight="1">
      <c r="A20" s="2" t="s">
        <v>23</v>
      </c>
      <c r="B20" s="11">
        <v>8.97548769E9</v>
      </c>
      <c r="C20" s="4" t="s">
        <v>17</v>
      </c>
    </row>
    <row r="21" ht="22.5" customHeight="1">
      <c r="A21" s="5" t="s">
        <v>24</v>
      </c>
      <c r="B21" s="13">
        <v>8.788224414E9</v>
      </c>
      <c r="C21" s="4" t="s">
        <v>17</v>
      </c>
    </row>
    <row r="22" ht="22.5" customHeight="1">
      <c r="A22" s="9" t="s">
        <v>25</v>
      </c>
      <c r="B22" s="10">
        <v>8.80647063E9</v>
      </c>
      <c r="C22" s="4" t="s">
        <v>17</v>
      </c>
    </row>
    <row r="23" ht="22.5" customHeight="1">
      <c r="A23" s="9" t="s">
        <v>26</v>
      </c>
      <c r="B23" s="7">
        <v>9.764113555E9</v>
      </c>
      <c r="C23" s="4" t="s">
        <v>17</v>
      </c>
    </row>
    <row r="24" ht="22.5" customHeight="1">
      <c r="A24" s="9" t="s">
        <v>26</v>
      </c>
      <c r="B24" s="14">
        <v>9.2259838E9</v>
      </c>
      <c r="C24" s="4" t="s">
        <v>17</v>
      </c>
    </row>
    <row r="25" ht="22.5" customHeight="1">
      <c r="A25" s="15" t="s">
        <v>27</v>
      </c>
      <c r="B25" s="16">
        <v>9.960166606E9</v>
      </c>
      <c r="C25" s="4" t="s">
        <v>17</v>
      </c>
    </row>
    <row r="26" ht="22.5" customHeight="1">
      <c r="A26" s="17" t="s">
        <v>28</v>
      </c>
      <c r="B26" s="14">
        <v>9.168242494E9</v>
      </c>
      <c r="C26" s="4" t="s">
        <v>17</v>
      </c>
    </row>
    <row r="27" ht="22.5" customHeight="1">
      <c r="A27" s="18" t="s">
        <v>29</v>
      </c>
      <c r="B27" s="19">
        <v>9.82363531E9</v>
      </c>
      <c r="C27" s="4" t="s">
        <v>30</v>
      </c>
    </row>
    <row r="28" ht="22.5" customHeight="1">
      <c r="A28" s="5" t="s">
        <v>31</v>
      </c>
      <c r="B28" s="13">
        <v>9.923443543E9</v>
      </c>
      <c r="C28" s="4" t="s">
        <v>30</v>
      </c>
    </row>
    <row r="29" ht="22.5" customHeight="1">
      <c r="A29" s="2" t="s">
        <v>32</v>
      </c>
      <c r="B29" s="11">
        <v>9.820148241E9</v>
      </c>
      <c r="C29" s="4" t="s">
        <v>30</v>
      </c>
    </row>
    <row r="30" ht="22.5" customHeight="1">
      <c r="A30" s="8" t="s">
        <v>33</v>
      </c>
      <c r="B30" s="13">
        <v>9.922656881E9</v>
      </c>
      <c r="C30" s="4" t="s">
        <v>30</v>
      </c>
    </row>
    <row r="31" ht="22.5" customHeight="1">
      <c r="A31" s="2" t="s">
        <v>34</v>
      </c>
      <c r="B31" s="11">
        <v>7.045452651E9</v>
      </c>
      <c r="C31" s="4" t="s">
        <v>30</v>
      </c>
    </row>
    <row r="32" ht="22.5" customHeight="1">
      <c r="A32" s="5" t="s">
        <v>35</v>
      </c>
      <c r="B32" s="13">
        <v>8.806728818E9</v>
      </c>
      <c r="C32" s="4" t="s">
        <v>30</v>
      </c>
    </row>
    <row r="33" ht="22.5" customHeight="1">
      <c r="A33" s="2" t="s">
        <v>36</v>
      </c>
      <c r="B33" s="11">
        <v>9.923852395E9</v>
      </c>
      <c r="C33" s="4" t="s">
        <v>30</v>
      </c>
    </row>
    <row r="34" ht="22.5" customHeight="1">
      <c r="A34" s="5" t="s">
        <v>37</v>
      </c>
      <c r="B34" s="20">
        <v>8.390723282E9</v>
      </c>
      <c r="C34" s="4" t="s">
        <v>30</v>
      </c>
    </row>
    <row r="35" ht="22.5" customHeight="1">
      <c r="A35" s="9" t="s">
        <v>38</v>
      </c>
      <c r="B35" s="11">
        <v>9.890341931E9</v>
      </c>
      <c r="C35" s="4" t="s">
        <v>30</v>
      </c>
    </row>
    <row r="36" ht="22.5" customHeight="1">
      <c r="A36" s="5" t="s">
        <v>39</v>
      </c>
      <c r="B36" s="13">
        <v>9.741911069E9</v>
      </c>
      <c r="C36" s="4" t="s">
        <v>30</v>
      </c>
    </row>
    <row r="37" ht="22.5" customHeight="1">
      <c r="A37" s="2" t="s">
        <v>40</v>
      </c>
      <c r="B37" s="11">
        <v>9.663387373E9</v>
      </c>
      <c r="C37" s="4" t="s">
        <v>30</v>
      </c>
    </row>
    <row r="38" ht="22.5" customHeight="1">
      <c r="A38" s="2" t="s">
        <v>41</v>
      </c>
      <c r="B38" s="11">
        <v>9.871090557E9</v>
      </c>
      <c r="C38" s="4" t="s">
        <v>30</v>
      </c>
    </row>
    <row r="39" ht="22.5" customHeight="1">
      <c r="A39" s="5" t="s">
        <v>42</v>
      </c>
      <c r="B39" s="13">
        <v>9.02866186E9</v>
      </c>
      <c r="C39" s="4" t="s">
        <v>30</v>
      </c>
    </row>
    <row r="40" ht="22.5" customHeight="1">
      <c r="A40" s="2" t="s">
        <v>43</v>
      </c>
      <c r="B40" s="11">
        <v>9.822128302E9</v>
      </c>
      <c r="C40" s="4" t="s">
        <v>30</v>
      </c>
    </row>
    <row r="41" ht="22.5" customHeight="1">
      <c r="A41" s="5" t="s">
        <v>44</v>
      </c>
      <c r="B41" s="13" t="s">
        <v>45</v>
      </c>
      <c r="C41" s="4" t="s">
        <v>30</v>
      </c>
    </row>
    <row r="42" ht="22.5" customHeight="1">
      <c r="A42" s="2" t="s">
        <v>46</v>
      </c>
      <c r="B42" s="7">
        <v>7.218260711E9</v>
      </c>
      <c r="C42" s="4" t="s">
        <v>30</v>
      </c>
    </row>
    <row r="43" ht="22.5" customHeight="1">
      <c r="A43" s="5" t="s">
        <v>47</v>
      </c>
      <c r="B43" s="13">
        <v>9.096034428E9</v>
      </c>
      <c r="C43" s="4" t="s">
        <v>30</v>
      </c>
    </row>
    <row r="44" ht="22.5" customHeight="1">
      <c r="A44" s="2" t="s">
        <v>48</v>
      </c>
      <c r="B44" s="11">
        <v>8.806628738E9</v>
      </c>
      <c r="C44" s="4" t="s">
        <v>30</v>
      </c>
    </row>
    <row r="45" ht="22.5" customHeight="1">
      <c r="A45" s="2" t="s">
        <v>49</v>
      </c>
      <c r="B45" s="21">
        <v>9.403079014E9</v>
      </c>
      <c r="C45" s="4" t="s">
        <v>30</v>
      </c>
    </row>
    <row r="46" ht="22.5" customHeight="1">
      <c r="A46" s="8" t="s">
        <v>50</v>
      </c>
      <c r="B46" s="22">
        <v>8.390777547E9</v>
      </c>
      <c r="C46" s="4" t="s">
        <v>30</v>
      </c>
    </row>
    <row r="47" ht="22.5" customHeight="1">
      <c r="A47" s="9" t="s">
        <v>51</v>
      </c>
      <c r="B47" s="23">
        <v>9.822128386E9</v>
      </c>
      <c r="C47" s="4" t="s">
        <v>30</v>
      </c>
    </row>
    <row r="48" ht="22.5" customHeight="1">
      <c r="A48" s="24" t="s">
        <v>52</v>
      </c>
      <c r="B48" s="14">
        <v>9.765257743E9</v>
      </c>
      <c r="C48" s="4" t="s">
        <v>30</v>
      </c>
    </row>
    <row r="49" ht="22.5" customHeight="1">
      <c r="A49" s="24" t="s">
        <v>53</v>
      </c>
      <c r="B49" s="14">
        <v>9.881065432E9</v>
      </c>
      <c r="C49" s="4" t="s">
        <v>30</v>
      </c>
    </row>
    <row r="50" ht="22.5" customHeight="1">
      <c r="A50" s="24" t="s">
        <v>54</v>
      </c>
      <c r="B50" s="14">
        <v>7.575967355E9</v>
      </c>
      <c r="C50" s="4" t="s">
        <v>30</v>
      </c>
    </row>
    <row r="51" ht="22.5" customHeight="1">
      <c r="A51" s="24" t="s">
        <v>55</v>
      </c>
      <c r="B51" s="14">
        <v>9.545555006E9</v>
      </c>
      <c r="C51" s="4" t="s">
        <v>30</v>
      </c>
    </row>
    <row r="52" ht="22.5" customHeight="1">
      <c r="A52" s="24" t="s">
        <v>56</v>
      </c>
      <c r="B52" s="14">
        <v>9.42205798E9</v>
      </c>
      <c r="C52" s="4" t="s">
        <v>30</v>
      </c>
    </row>
  </sheetData>
  <dataValidations>
    <dataValidation type="list" allowBlank="1" sqref="C2:C52">
      <formula1>"Boys,Men,Ladies"</formula1>
    </dataValidation>
    <dataValidation type="custom" allowBlank="1" showDropDown="1" sqref="B2:B52">
      <formula1>AND(ISNUMBER(B2),(NOT(OR(NOT(ISERROR(DATEVALUE(B2))), AND(ISNUMBER(B2), LEFT(CELL("format", B2))="D")))))</formula1>
    </dataValidation>
    <dataValidation allowBlank="1" showDropDown="1" sqref="A2:A5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8.13"/>
    <col customWidth="1" min="3" max="3" width="15.25"/>
    <col customWidth="1" min="4" max="4" width="11.0"/>
    <col customWidth="1" min="5" max="66" width="3.88"/>
  </cols>
  <sheetData>
    <row r="1">
      <c r="A1" s="25"/>
    </row>
    <row r="2">
      <c r="A2" s="26" t="s">
        <v>57</v>
      </c>
      <c r="B2" s="27"/>
      <c r="C2" s="28"/>
      <c r="D2" s="25"/>
      <c r="E2" s="29"/>
      <c r="F2" s="30" t="s">
        <v>58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2"/>
    </row>
    <row r="3">
      <c r="A3" s="33" t="s">
        <v>59</v>
      </c>
      <c r="B3" s="34" t="s">
        <v>60</v>
      </c>
      <c r="C3" s="35" t="s">
        <v>61</v>
      </c>
      <c r="D3" s="25"/>
      <c r="E3" s="29"/>
      <c r="F3" s="36" t="s">
        <v>62</v>
      </c>
      <c r="K3" s="37"/>
      <c r="L3" s="36" t="s">
        <v>63</v>
      </c>
      <c r="Q3" s="37"/>
      <c r="R3" s="36" t="s">
        <v>64</v>
      </c>
      <c r="W3" s="37"/>
      <c r="X3" s="36" t="s">
        <v>65</v>
      </c>
      <c r="AC3" s="37"/>
      <c r="AD3" s="36" t="s">
        <v>66</v>
      </c>
      <c r="AI3" s="37"/>
      <c r="AJ3" s="36" t="s">
        <v>67</v>
      </c>
      <c r="AO3" s="37"/>
      <c r="AP3" s="36" t="s">
        <v>57</v>
      </c>
      <c r="BM3" s="38"/>
    </row>
    <row r="4">
      <c r="A4" s="39" t="s">
        <v>68</v>
      </c>
      <c r="B4" s="25" t="s">
        <v>69</v>
      </c>
      <c r="C4" s="35" t="s">
        <v>61</v>
      </c>
      <c r="D4" s="25"/>
      <c r="E4" s="29"/>
      <c r="F4" s="40" t="s">
        <v>70</v>
      </c>
      <c r="H4" s="40" t="s">
        <v>71</v>
      </c>
      <c r="I4" s="40" t="s">
        <v>72</v>
      </c>
      <c r="K4" s="41"/>
      <c r="L4" s="40" t="s">
        <v>70</v>
      </c>
      <c r="N4" s="40" t="s">
        <v>71</v>
      </c>
      <c r="O4" s="40" t="s">
        <v>72</v>
      </c>
      <c r="Q4" s="41"/>
      <c r="R4" s="40" t="s">
        <v>70</v>
      </c>
      <c r="T4" s="40" t="s">
        <v>71</v>
      </c>
      <c r="U4" s="40" t="s">
        <v>72</v>
      </c>
      <c r="W4" s="41"/>
      <c r="X4" s="40" t="s">
        <v>70</v>
      </c>
      <c r="Z4" s="40" t="s">
        <v>71</v>
      </c>
      <c r="AA4" s="40" t="s">
        <v>72</v>
      </c>
      <c r="AC4" s="41"/>
      <c r="AD4" s="40" t="s">
        <v>70</v>
      </c>
      <c r="AF4" s="40" t="s">
        <v>71</v>
      </c>
      <c r="AG4" s="40" t="s">
        <v>72</v>
      </c>
      <c r="AI4" s="41"/>
      <c r="AJ4" s="40" t="s">
        <v>70</v>
      </c>
      <c r="AL4" s="40" t="s">
        <v>71</v>
      </c>
      <c r="AM4" s="40" t="s">
        <v>72</v>
      </c>
      <c r="AO4" s="41"/>
      <c r="AP4" s="40" t="s">
        <v>73</v>
      </c>
      <c r="AU4" s="42"/>
      <c r="AV4" s="40" t="s">
        <v>74</v>
      </c>
      <c r="BA4" s="42"/>
      <c r="BB4" s="40" t="s">
        <v>75</v>
      </c>
      <c r="BE4" s="40" t="s">
        <v>72</v>
      </c>
      <c r="BG4" s="42"/>
      <c r="BH4" s="40" t="s">
        <v>70</v>
      </c>
      <c r="BK4" s="40" t="s">
        <v>72</v>
      </c>
      <c r="BM4" s="38"/>
    </row>
    <row r="5">
      <c r="A5" s="39" t="s">
        <v>76</v>
      </c>
      <c r="B5" s="25" t="s">
        <v>77</v>
      </c>
      <c r="C5" s="35" t="s">
        <v>61</v>
      </c>
      <c r="E5" s="43"/>
      <c r="F5" s="44" t="s">
        <v>60</v>
      </c>
      <c r="G5" s="45" t="s">
        <v>69</v>
      </c>
      <c r="H5" s="45" t="s">
        <v>77</v>
      </c>
      <c r="I5" s="46" t="s">
        <v>78</v>
      </c>
      <c r="J5" s="46" t="s">
        <v>79</v>
      </c>
      <c r="K5" s="47"/>
      <c r="L5" s="44" t="s">
        <v>60</v>
      </c>
      <c r="M5" s="45" t="s">
        <v>69</v>
      </c>
      <c r="N5" s="45" t="s">
        <v>77</v>
      </c>
      <c r="O5" s="46" t="s">
        <v>78</v>
      </c>
      <c r="P5" s="46" t="s">
        <v>79</v>
      </c>
      <c r="Q5" s="47"/>
      <c r="R5" s="44" t="s">
        <v>60</v>
      </c>
      <c r="S5" s="45" t="s">
        <v>69</v>
      </c>
      <c r="T5" s="45" t="s">
        <v>77</v>
      </c>
      <c r="U5" s="46" t="s">
        <v>78</v>
      </c>
      <c r="V5" s="46" t="s">
        <v>79</v>
      </c>
      <c r="W5" s="47"/>
      <c r="X5" s="44" t="s">
        <v>60</v>
      </c>
      <c r="Y5" s="45" t="s">
        <v>69</v>
      </c>
      <c r="Z5" s="45" t="s">
        <v>77</v>
      </c>
      <c r="AA5" s="46" t="s">
        <v>78</v>
      </c>
      <c r="AB5" s="46" t="s">
        <v>79</v>
      </c>
      <c r="AC5" s="47"/>
      <c r="AD5" s="44" t="s">
        <v>60</v>
      </c>
      <c r="AE5" s="45" t="s">
        <v>69</v>
      </c>
      <c r="AF5" s="45" t="s">
        <v>77</v>
      </c>
      <c r="AG5" s="46" t="s">
        <v>78</v>
      </c>
      <c r="AH5" s="46" t="s">
        <v>79</v>
      </c>
      <c r="AI5" s="48"/>
      <c r="AJ5" s="49" t="s">
        <v>60</v>
      </c>
      <c r="AK5" s="50" t="s">
        <v>69</v>
      </c>
      <c r="AL5" s="50" t="s">
        <v>77</v>
      </c>
      <c r="AM5" s="46" t="s">
        <v>78</v>
      </c>
      <c r="AN5" s="46" t="s">
        <v>79</v>
      </c>
      <c r="AO5" s="48"/>
      <c r="AP5" s="50" t="s">
        <v>60</v>
      </c>
      <c r="AQ5" s="50" t="s">
        <v>69</v>
      </c>
      <c r="AR5" s="50" t="s">
        <v>77</v>
      </c>
      <c r="AS5" s="50" t="s">
        <v>78</v>
      </c>
      <c r="AT5" s="50" t="s">
        <v>79</v>
      </c>
      <c r="AU5" s="51" t="s">
        <v>80</v>
      </c>
      <c r="AV5" s="49" t="s">
        <v>60</v>
      </c>
      <c r="AW5" s="50" t="s">
        <v>69</v>
      </c>
      <c r="AX5" s="50" t="s">
        <v>77</v>
      </c>
      <c r="AY5" s="50" t="s">
        <v>78</v>
      </c>
      <c r="AZ5" s="50" t="s">
        <v>79</v>
      </c>
      <c r="BA5" s="51" t="s">
        <v>80</v>
      </c>
      <c r="BB5" s="49" t="s">
        <v>60</v>
      </c>
      <c r="BC5" s="50" t="s">
        <v>69</v>
      </c>
      <c r="BD5" s="50" t="s">
        <v>77</v>
      </c>
      <c r="BE5" s="50" t="s">
        <v>78</v>
      </c>
      <c r="BF5" s="50" t="s">
        <v>79</v>
      </c>
      <c r="BG5" s="51" t="s">
        <v>80</v>
      </c>
      <c r="BH5" s="49" t="s">
        <v>60</v>
      </c>
      <c r="BI5" s="50" t="s">
        <v>69</v>
      </c>
      <c r="BJ5" s="50" t="s">
        <v>77</v>
      </c>
      <c r="BK5" s="50" t="s">
        <v>78</v>
      </c>
      <c r="BL5" s="50" t="s">
        <v>79</v>
      </c>
      <c r="BM5" s="52" t="s">
        <v>80</v>
      </c>
    </row>
    <row r="6">
      <c r="A6" s="53" t="s">
        <v>81</v>
      </c>
      <c r="B6" s="54" t="s">
        <v>78</v>
      </c>
      <c r="C6" s="55" t="s">
        <v>82</v>
      </c>
      <c r="E6" s="56"/>
      <c r="F6" s="57"/>
      <c r="G6" s="58"/>
      <c r="H6" s="58"/>
      <c r="I6" s="58"/>
      <c r="J6" s="58"/>
      <c r="K6" s="59"/>
      <c r="L6" s="58"/>
      <c r="M6" s="58"/>
      <c r="N6" s="58"/>
      <c r="O6" s="58"/>
      <c r="P6" s="58"/>
      <c r="Q6" s="59"/>
      <c r="R6" s="58"/>
      <c r="S6" s="58"/>
      <c r="T6" s="58"/>
      <c r="U6" s="58"/>
      <c r="V6" s="58"/>
      <c r="W6" s="59"/>
      <c r="X6" s="58"/>
      <c r="Y6" s="58"/>
      <c r="Z6" s="58"/>
      <c r="AA6" s="58"/>
      <c r="AB6" s="58"/>
      <c r="AC6" s="59"/>
      <c r="AD6" s="58"/>
      <c r="AE6" s="58"/>
      <c r="AF6" s="58"/>
      <c r="AG6" s="60"/>
      <c r="AH6" s="61"/>
      <c r="AI6" s="49">
        <v>1.0</v>
      </c>
      <c r="AJ6" s="62" t="s">
        <v>83</v>
      </c>
      <c r="AK6" s="62" t="s">
        <v>83</v>
      </c>
      <c r="AL6" s="62" t="s">
        <v>83</v>
      </c>
      <c r="AM6" s="63" t="s">
        <v>84</v>
      </c>
      <c r="AN6" s="63"/>
      <c r="AO6" s="50">
        <v>2.0</v>
      </c>
      <c r="AP6" s="62" t="s">
        <v>83</v>
      </c>
      <c r="AQ6" s="62" t="s">
        <v>83</v>
      </c>
      <c r="AR6" s="62" t="s">
        <v>83</v>
      </c>
      <c r="AS6" s="62" t="s">
        <v>83</v>
      </c>
      <c r="AT6" s="62" t="s">
        <v>83</v>
      </c>
      <c r="AU6" s="64" t="s">
        <v>83</v>
      </c>
      <c r="AV6" s="62" t="s">
        <v>83</v>
      </c>
      <c r="AW6" s="62" t="s">
        <v>83</v>
      </c>
      <c r="AX6" s="62" t="s">
        <v>83</v>
      </c>
      <c r="AY6" s="62" t="s">
        <v>83</v>
      </c>
      <c r="AZ6" s="62" t="s">
        <v>83</v>
      </c>
      <c r="BA6" s="64" t="s">
        <v>83</v>
      </c>
      <c r="BB6" s="62" t="s">
        <v>83</v>
      </c>
      <c r="BC6" s="62" t="s">
        <v>83</v>
      </c>
      <c r="BD6" s="62" t="s">
        <v>83</v>
      </c>
      <c r="BE6" s="63" t="s">
        <v>83</v>
      </c>
      <c r="BF6" s="63" t="s">
        <v>83</v>
      </c>
      <c r="BG6" s="65" t="s">
        <v>83</v>
      </c>
      <c r="BH6" s="62" t="s">
        <v>83</v>
      </c>
      <c r="BI6" s="62" t="s">
        <v>83</v>
      </c>
      <c r="BJ6" s="62" t="s">
        <v>83</v>
      </c>
      <c r="BK6" s="63" t="s">
        <v>83</v>
      </c>
      <c r="BL6" s="63" t="s">
        <v>83</v>
      </c>
      <c r="BM6" s="65" t="s">
        <v>83</v>
      </c>
    </row>
    <row r="7">
      <c r="A7" s="53" t="s">
        <v>85</v>
      </c>
      <c r="B7" s="54" t="s">
        <v>79</v>
      </c>
      <c r="C7" s="55" t="s">
        <v>82</v>
      </c>
      <c r="E7" s="66">
        <v>3.0</v>
      </c>
      <c r="F7" s="62" t="s">
        <v>83</v>
      </c>
      <c r="G7" s="62" t="s">
        <v>83</v>
      </c>
      <c r="H7" s="62" t="s">
        <v>83</v>
      </c>
      <c r="I7" s="63"/>
      <c r="J7" s="63" t="s">
        <v>84</v>
      </c>
      <c r="K7" s="67">
        <v>4.0</v>
      </c>
      <c r="L7" s="62" t="s">
        <v>83</v>
      </c>
      <c r="M7" s="62" t="s">
        <v>83</v>
      </c>
      <c r="N7" s="62" t="s">
        <v>83</v>
      </c>
      <c r="O7" s="63"/>
      <c r="P7" s="63" t="s">
        <v>83</v>
      </c>
      <c r="Q7" s="67">
        <v>5.0</v>
      </c>
      <c r="R7" s="62" t="s">
        <v>83</v>
      </c>
      <c r="S7" s="62" t="s">
        <v>83</v>
      </c>
      <c r="T7" s="62" t="s">
        <v>83</v>
      </c>
      <c r="U7" s="63" t="s">
        <v>84</v>
      </c>
      <c r="V7" s="63" t="s">
        <v>83</v>
      </c>
      <c r="W7" s="67">
        <v>6.0</v>
      </c>
      <c r="X7" s="62" t="s">
        <v>83</v>
      </c>
      <c r="Y7" s="62" t="s">
        <v>83</v>
      </c>
      <c r="Z7" s="62" t="s">
        <v>83</v>
      </c>
      <c r="AA7" s="63"/>
      <c r="AB7" s="63" t="s">
        <v>83</v>
      </c>
      <c r="AC7" s="67">
        <v>7.0</v>
      </c>
      <c r="AD7" s="62" t="s">
        <v>83</v>
      </c>
      <c r="AE7" s="62" t="s">
        <v>84</v>
      </c>
      <c r="AF7" s="62" t="s">
        <v>83</v>
      </c>
      <c r="AG7" s="63" t="s">
        <v>84</v>
      </c>
      <c r="AH7" s="63"/>
      <c r="AI7" s="50">
        <v>8.0</v>
      </c>
      <c r="AJ7" s="62" t="s">
        <v>83</v>
      </c>
      <c r="AK7" s="62" t="s">
        <v>84</v>
      </c>
      <c r="AL7" s="62" t="s">
        <v>84</v>
      </c>
      <c r="AM7" s="63"/>
      <c r="AN7" s="63" t="s">
        <v>83</v>
      </c>
      <c r="AO7" s="50">
        <v>9.0</v>
      </c>
      <c r="AP7" s="62" t="s">
        <v>83</v>
      </c>
      <c r="AQ7" s="62" t="s">
        <v>84</v>
      </c>
      <c r="AR7" s="62" t="s">
        <v>83</v>
      </c>
      <c r="AS7" s="62" t="s">
        <v>83</v>
      </c>
      <c r="AT7" s="62" t="s">
        <v>83</v>
      </c>
      <c r="AU7" s="64" t="s">
        <v>83</v>
      </c>
      <c r="AV7" s="62" t="s">
        <v>83</v>
      </c>
      <c r="AW7" s="62" t="s">
        <v>84</v>
      </c>
      <c r="AX7" s="62" t="s">
        <v>83</v>
      </c>
      <c r="AY7" s="62" t="s">
        <v>83</v>
      </c>
      <c r="AZ7" s="62" t="s">
        <v>83</v>
      </c>
      <c r="BA7" s="64" t="s">
        <v>83</v>
      </c>
      <c r="BB7" s="62" t="s">
        <v>83</v>
      </c>
      <c r="BC7" s="62" t="s">
        <v>83</v>
      </c>
      <c r="BD7" s="62" t="s">
        <v>83</v>
      </c>
      <c r="BE7" s="63" t="s">
        <v>83</v>
      </c>
      <c r="BF7" s="63" t="s">
        <v>83</v>
      </c>
      <c r="BG7" s="65" t="s">
        <v>83</v>
      </c>
      <c r="BH7" s="62" t="s">
        <v>83</v>
      </c>
      <c r="BI7" s="62" t="s">
        <v>83</v>
      </c>
      <c r="BJ7" s="62" t="s">
        <v>83</v>
      </c>
      <c r="BK7" s="63" t="s">
        <v>83</v>
      </c>
      <c r="BL7" s="63" t="s">
        <v>83</v>
      </c>
      <c r="BM7" s="65" t="s">
        <v>83</v>
      </c>
    </row>
    <row r="8">
      <c r="A8" s="68" t="s">
        <v>86</v>
      </c>
      <c r="B8" s="69" t="s">
        <v>80</v>
      </c>
      <c r="C8" s="70" t="s">
        <v>82</v>
      </c>
      <c r="E8" s="71">
        <v>10.0</v>
      </c>
      <c r="F8" s="62" t="s">
        <v>83</v>
      </c>
      <c r="G8" s="62" t="s">
        <v>83</v>
      </c>
      <c r="H8" s="62" t="s">
        <v>83</v>
      </c>
      <c r="I8" s="63"/>
      <c r="J8" s="63" t="s">
        <v>84</v>
      </c>
      <c r="K8" s="50">
        <v>11.0</v>
      </c>
      <c r="L8" s="62" t="s">
        <v>83</v>
      </c>
      <c r="M8" s="62" t="s">
        <v>83</v>
      </c>
      <c r="N8" s="62" t="s">
        <v>83</v>
      </c>
      <c r="O8" s="63"/>
      <c r="P8" s="63" t="s">
        <v>83</v>
      </c>
      <c r="Q8" s="50">
        <v>12.0</v>
      </c>
      <c r="R8" s="62" t="s">
        <v>83</v>
      </c>
      <c r="S8" s="62" t="s">
        <v>84</v>
      </c>
      <c r="T8" s="62" t="s">
        <v>83</v>
      </c>
      <c r="U8" s="63" t="s">
        <v>84</v>
      </c>
      <c r="V8" s="63" t="s">
        <v>83</v>
      </c>
      <c r="W8" s="50">
        <v>13.0</v>
      </c>
      <c r="X8" s="62" t="s">
        <v>84</v>
      </c>
      <c r="Y8" s="62" t="s">
        <v>84</v>
      </c>
      <c r="Z8" s="62" t="s">
        <v>83</v>
      </c>
      <c r="AA8" s="63"/>
      <c r="AB8" s="63" t="s">
        <v>83</v>
      </c>
      <c r="AC8" s="50">
        <v>14.0</v>
      </c>
      <c r="AD8" s="62" t="s">
        <v>83</v>
      </c>
      <c r="AE8" s="62" t="s">
        <v>84</v>
      </c>
      <c r="AF8" s="62" t="s">
        <v>84</v>
      </c>
      <c r="AG8" s="63"/>
      <c r="AH8" s="63" t="s">
        <v>83</v>
      </c>
      <c r="AI8" s="50">
        <v>15.0</v>
      </c>
      <c r="AJ8" s="62" t="s">
        <v>84</v>
      </c>
      <c r="AK8" s="62" t="s">
        <v>83</v>
      </c>
      <c r="AL8" s="62" t="s">
        <v>83</v>
      </c>
      <c r="AM8" s="63"/>
      <c r="AN8" s="63" t="s">
        <v>83</v>
      </c>
      <c r="AO8" s="50">
        <v>16.0</v>
      </c>
      <c r="AP8" s="62" t="s">
        <v>84</v>
      </c>
      <c r="AQ8" s="62" t="s">
        <v>84</v>
      </c>
      <c r="AR8" s="62" t="s">
        <v>83</v>
      </c>
      <c r="AS8" s="62" t="s">
        <v>84</v>
      </c>
      <c r="AT8" s="62" t="s">
        <v>83</v>
      </c>
      <c r="AU8" s="64" t="s">
        <v>83</v>
      </c>
      <c r="AV8" s="62" t="s">
        <v>83</v>
      </c>
      <c r="AW8" s="62" t="s">
        <v>83</v>
      </c>
      <c r="AX8" s="62" t="s">
        <v>83</v>
      </c>
      <c r="AY8" s="62" t="s">
        <v>83</v>
      </c>
      <c r="AZ8" s="62" t="s">
        <v>83</v>
      </c>
      <c r="BA8" s="64" t="s">
        <v>83</v>
      </c>
      <c r="BB8" s="62" t="s">
        <v>83</v>
      </c>
      <c r="BC8" s="62" t="s">
        <v>83</v>
      </c>
      <c r="BD8" s="62" t="s">
        <v>83</v>
      </c>
      <c r="BE8" s="63" t="s">
        <v>83</v>
      </c>
      <c r="BF8" s="63" t="s">
        <v>83</v>
      </c>
      <c r="BG8" s="65" t="s">
        <v>83</v>
      </c>
      <c r="BH8" s="62" t="s">
        <v>83</v>
      </c>
      <c r="BI8" s="62" t="s">
        <v>83</v>
      </c>
      <c r="BJ8" s="62" t="s">
        <v>83</v>
      </c>
      <c r="BK8" s="63" t="s">
        <v>83</v>
      </c>
      <c r="BL8" s="63" t="s">
        <v>83</v>
      </c>
      <c r="BM8" s="65" t="s">
        <v>83</v>
      </c>
    </row>
    <row r="9">
      <c r="A9" s="25"/>
      <c r="E9" s="71">
        <v>17.0</v>
      </c>
      <c r="F9" s="62" t="s">
        <v>83</v>
      </c>
      <c r="G9" s="62" t="s">
        <v>83</v>
      </c>
      <c r="H9" s="62" t="s">
        <v>83</v>
      </c>
      <c r="I9" s="63" t="s">
        <v>84</v>
      </c>
      <c r="J9" s="63" t="s">
        <v>83</v>
      </c>
      <c r="K9" s="50">
        <v>18.0</v>
      </c>
      <c r="L9" s="62" t="s">
        <v>83</v>
      </c>
      <c r="M9" s="62" t="s">
        <v>84</v>
      </c>
      <c r="N9" s="62" t="s">
        <v>83</v>
      </c>
      <c r="O9" s="63" t="s">
        <v>84</v>
      </c>
      <c r="P9" s="63" t="s">
        <v>83</v>
      </c>
      <c r="Q9" s="50">
        <v>19.0</v>
      </c>
      <c r="R9" s="62" t="s">
        <v>84</v>
      </c>
      <c r="S9" s="62" t="s">
        <v>83</v>
      </c>
      <c r="T9" s="62" t="s">
        <v>83</v>
      </c>
      <c r="U9" s="63" t="s">
        <v>83</v>
      </c>
      <c r="V9" s="63" t="s">
        <v>84</v>
      </c>
      <c r="W9" s="50">
        <v>20.0</v>
      </c>
      <c r="X9" s="62" t="s">
        <v>83</v>
      </c>
      <c r="Y9" s="62" t="s">
        <v>83</v>
      </c>
      <c r="Z9" s="62" t="s">
        <v>84</v>
      </c>
      <c r="AA9" s="63"/>
      <c r="AB9" s="63" t="s">
        <v>83</v>
      </c>
      <c r="AC9" s="50">
        <v>21.0</v>
      </c>
      <c r="AD9" s="62" t="s">
        <v>84</v>
      </c>
      <c r="AE9" s="62" t="s">
        <v>84</v>
      </c>
      <c r="AF9" s="62" t="s">
        <v>83</v>
      </c>
      <c r="AG9" s="63"/>
      <c r="AH9" s="63" t="s">
        <v>84</v>
      </c>
      <c r="AI9" s="50">
        <v>22.0</v>
      </c>
      <c r="AJ9" s="62" t="s">
        <v>84</v>
      </c>
      <c r="AK9" s="62" t="s">
        <v>84</v>
      </c>
      <c r="AL9" s="62" t="s">
        <v>83</v>
      </c>
      <c r="AM9" s="63"/>
      <c r="AN9" s="63" t="s">
        <v>83</v>
      </c>
      <c r="AO9" s="50">
        <v>23.0</v>
      </c>
      <c r="AP9" s="62" t="s">
        <v>83</v>
      </c>
      <c r="AQ9" s="62" t="s">
        <v>84</v>
      </c>
      <c r="AR9" s="62" t="s">
        <v>83</v>
      </c>
      <c r="AS9" s="62" t="s">
        <v>83</v>
      </c>
      <c r="AT9" s="62" t="s">
        <v>83</v>
      </c>
      <c r="AU9" s="64" t="s">
        <v>83</v>
      </c>
      <c r="AV9" s="62" t="s">
        <v>83</v>
      </c>
      <c r="AW9" s="62" t="s">
        <v>83</v>
      </c>
      <c r="AX9" s="62" t="s">
        <v>83</v>
      </c>
      <c r="AY9" s="62" t="s">
        <v>83</v>
      </c>
      <c r="AZ9" s="62" t="s">
        <v>83</v>
      </c>
      <c r="BA9" s="64" t="s">
        <v>83</v>
      </c>
      <c r="BB9" s="62" t="s">
        <v>83</v>
      </c>
      <c r="BC9" s="62" t="s">
        <v>83</v>
      </c>
      <c r="BD9" s="62" t="s">
        <v>83</v>
      </c>
      <c r="BE9" s="63" t="s">
        <v>83</v>
      </c>
      <c r="BF9" s="63" t="s">
        <v>83</v>
      </c>
      <c r="BG9" s="65" t="s">
        <v>83</v>
      </c>
      <c r="BH9" s="62" t="s">
        <v>83</v>
      </c>
      <c r="BI9" s="62" t="s">
        <v>83</v>
      </c>
      <c r="BJ9" s="62" t="s">
        <v>83</v>
      </c>
      <c r="BK9" s="63" t="s">
        <v>83</v>
      </c>
      <c r="BL9" s="63" t="s">
        <v>83</v>
      </c>
      <c r="BM9" s="65" t="s">
        <v>83</v>
      </c>
    </row>
    <row r="10">
      <c r="A10" s="72" t="s">
        <v>87</v>
      </c>
      <c r="B10" s="73"/>
      <c r="C10" s="74"/>
      <c r="E10" s="75">
        <v>24.0</v>
      </c>
      <c r="F10" s="76" t="s">
        <v>83</v>
      </c>
      <c r="G10" s="76" t="s">
        <v>83</v>
      </c>
      <c r="H10" s="76" t="s">
        <v>83</v>
      </c>
      <c r="I10" s="77"/>
      <c r="J10" s="77" t="s">
        <v>83</v>
      </c>
      <c r="K10" s="78">
        <v>25.0</v>
      </c>
      <c r="L10" s="76" t="s">
        <v>84</v>
      </c>
      <c r="M10" s="76" t="s">
        <v>84</v>
      </c>
      <c r="N10" s="76" t="s">
        <v>83</v>
      </c>
      <c r="O10" s="77"/>
      <c r="P10" s="77" t="s">
        <v>83</v>
      </c>
      <c r="Q10" s="78">
        <v>26.0</v>
      </c>
      <c r="R10" s="76" t="s">
        <v>83</v>
      </c>
      <c r="S10" s="76" t="s">
        <v>83</v>
      </c>
      <c r="T10" s="76" t="s">
        <v>84</v>
      </c>
      <c r="U10" s="77" t="s">
        <v>83</v>
      </c>
      <c r="V10" s="77" t="s">
        <v>83</v>
      </c>
      <c r="W10" s="78">
        <v>27.0</v>
      </c>
      <c r="X10" s="76" t="s">
        <v>83</v>
      </c>
      <c r="Y10" s="76" t="s">
        <v>83</v>
      </c>
      <c r="Z10" s="76" t="s">
        <v>83</v>
      </c>
      <c r="AA10" s="77"/>
      <c r="AB10" s="77" t="s">
        <v>83</v>
      </c>
      <c r="AC10" s="78">
        <v>28.0</v>
      </c>
      <c r="AD10" s="76" t="s">
        <v>83</v>
      </c>
      <c r="AE10" s="76" t="s">
        <v>83</v>
      </c>
      <c r="AF10" s="76" t="s">
        <v>83</v>
      </c>
      <c r="AG10" s="77"/>
      <c r="AH10" s="77" t="s">
        <v>83</v>
      </c>
      <c r="AI10" s="78">
        <v>29.0</v>
      </c>
      <c r="AJ10" s="76" t="s">
        <v>84</v>
      </c>
      <c r="AK10" s="76" t="s">
        <v>84</v>
      </c>
      <c r="AL10" s="76" t="s">
        <v>84</v>
      </c>
      <c r="AM10" s="77" t="s">
        <v>84</v>
      </c>
      <c r="AN10" s="77" t="s">
        <v>83</v>
      </c>
      <c r="AO10" s="78">
        <v>30.0</v>
      </c>
      <c r="AP10" s="76" t="s">
        <v>83</v>
      </c>
      <c r="AQ10" s="76" t="s">
        <v>84</v>
      </c>
      <c r="AR10" s="76" t="s">
        <v>83</v>
      </c>
      <c r="AS10" s="76" t="s">
        <v>83</v>
      </c>
      <c r="AT10" s="76" t="s">
        <v>84</v>
      </c>
      <c r="AU10" s="79" t="s">
        <v>83</v>
      </c>
      <c r="AV10" s="76" t="s">
        <v>83</v>
      </c>
      <c r="AW10" s="76" t="s">
        <v>84</v>
      </c>
      <c r="AX10" s="76" t="s">
        <v>83</v>
      </c>
      <c r="AY10" s="76" t="s">
        <v>83</v>
      </c>
      <c r="AZ10" s="76" t="s">
        <v>83</v>
      </c>
      <c r="BA10" s="79" t="s">
        <v>83</v>
      </c>
      <c r="BB10" s="76" t="s">
        <v>83</v>
      </c>
      <c r="BC10" s="76" t="s">
        <v>83</v>
      </c>
      <c r="BD10" s="76" t="s">
        <v>83</v>
      </c>
      <c r="BE10" s="77" t="s">
        <v>83</v>
      </c>
      <c r="BF10" s="77" t="s">
        <v>83</v>
      </c>
      <c r="BG10" s="80" t="s">
        <v>83</v>
      </c>
      <c r="BH10" s="76" t="s">
        <v>83</v>
      </c>
      <c r="BI10" s="76" t="s">
        <v>83</v>
      </c>
      <c r="BJ10" s="76" t="s">
        <v>83</v>
      </c>
      <c r="BK10" s="77" t="s">
        <v>83</v>
      </c>
      <c r="BL10" s="77" t="s">
        <v>83</v>
      </c>
      <c r="BM10" s="80" t="s">
        <v>83</v>
      </c>
    </row>
    <row r="11">
      <c r="A11" s="81" t="s">
        <v>59</v>
      </c>
      <c r="B11" s="25" t="s">
        <v>60</v>
      </c>
      <c r="C11" s="82" t="s">
        <v>70</v>
      </c>
    </row>
    <row r="12">
      <c r="A12" s="81" t="s">
        <v>68</v>
      </c>
      <c r="B12" s="25" t="s">
        <v>69</v>
      </c>
      <c r="C12" s="82" t="s">
        <v>70</v>
      </c>
    </row>
    <row r="13">
      <c r="A13" s="81" t="s">
        <v>81</v>
      </c>
      <c r="B13" s="25" t="s">
        <v>77</v>
      </c>
      <c r="C13" s="82" t="s">
        <v>74</v>
      </c>
    </row>
    <row r="14">
      <c r="A14" s="83" t="s">
        <v>88</v>
      </c>
      <c r="B14" s="54" t="s">
        <v>78</v>
      </c>
      <c r="C14" s="84" t="s">
        <v>72</v>
      </c>
      <c r="E14" s="29"/>
      <c r="F14" s="30" t="s">
        <v>89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2"/>
    </row>
    <row r="15">
      <c r="A15" s="85" t="s">
        <v>90</v>
      </c>
      <c r="B15" s="69" t="s">
        <v>79</v>
      </c>
      <c r="C15" s="86" t="s">
        <v>72</v>
      </c>
      <c r="E15" s="29"/>
      <c r="F15" s="36" t="s">
        <v>62</v>
      </c>
      <c r="K15" s="87"/>
      <c r="L15" s="36" t="s">
        <v>63</v>
      </c>
      <c r="Q15" s="87"/>
      <c r="R15" s="36" t="s">
        <v>64</v>
      </c>
      <c r="W15" s="87"/>
      <c r="X15" s="36" t="s">
        <v>65</v>
      </c>
      <c r="AC15" s="87"/>
      <c r="AD15" s="36" t="s">
        <v>66</v>
      </c>
      <c r="AI15" s="87"/>
      <c r="AJ15" s="36" t="s">
        <v>67</v>
      </c>
      <c r="AO15" s="87"/>
      <c r="AP15" s="36" t="s">
        <v>57</v>
      </c>
      <c r="BM15" s="38"/>
    </row>
    <row r="16">
      <c r="E16" s="43"/>
      <c r="F16" s="40" t="s">
        <v>70</v>
      </c>
      <c r="H16" s="40" t="s">
        <v>71</v>
      </c>
      <c r="I16" s="40" t="s">
        <v>72</v>
      </c>
      <c r="K16" s="41"/>
      <c r="L16" s="40" t="s">
        <v>70</v>
      </c>
      <c r="N16" s="40" t="s">
        <v>71</v>
      </c>
      <c r="O16" s="40" t="s">
        <v>72</v>
      </c>
      <c r="Q16" s="41"/>
      <c r="R16" s="40" t="s">
        <v>70</v>
      </c>
      <c r="T16" s="40" t="s">
        <v>71</v>
      </c>
      <c r="U16" s="40" t="s">
        <v>72</v>
      </c>
      <c r="W16" s="41"/>
      <c r="X16" s="40" t="s">
        <v>70</v>
      </c>
      <c r="Z16" s="40" t="s">
        <v>71</v>
      </c>
      <c r="AA16" s="40" t="s">
        <v>72</v>
      </c>
      <c r="AC16" s="41"/>
      <c r="AD16" s="40" t="s">
        <v>70</v>
      </c>
      <c r="AF16" s="40" t="s">
        <v>71</v>
      </c>
      <c r="AG16" s="40" t="s">
        <v>72</v>
      </c>
      <c r="AI16" s="41"/>
      <c r="AJ16" s="40" t="s">
        <v>70</v>
      </c>
      <c r="AL16" s="40" t="s">
        <v>71</v>
      </c>
      <c r="AM16" s="40" t="s">
        <v>72</v>
      </c>
      <c r="AO16" s="41"/>
      <c r="AP16" s="40" t="s">
        <v>73</v>
      </c>
      <c r="AU16" s="42"/>
      <c r="AV16" s="40" t="s">
        <v>74</v>
      </c>
      <c r="BA16" s="42"/>
      <c r="BB16" s="40" t="s">
        <v>75</v>
      </c>
      <c r="BE16" s="40" t="s">
        <v>72</v>
      </c>
      <c r="BG16" s="42"/>
      <c r="BH16" s="40" t="s">
        <v>70</v>
      </c>
      <c r="BK16" s="40" t="s">
        <v>72</v>
      </c>
      <c r="BM16" s="38"/>
    </row>
    <row r="17">
      <c r="E17" s="56"/>
      <c r="F17" s="50" t="s">
        <v>60</v>
      </c>
      <c r="G17" s="50" t="s">
        <v>69</v>
      </c>
      <c r="H17" s="50" t="s">
        <v>77</v>
      </c>
      <c r="I17" s="46" t="s">
        <v>78</v>
      </c>
      <c r="J17" s="46" t="s">
        <v>79</v>
      </c>
      <c r="K17" s="47"/>
      <c r="L17" s="50" t="s">
        <v>60</v>
      </c>
      <c r="M17" s="50" t="s">
        <v>69</v>
      </c>
      <c r="N17" s="50" t="s">
        <v>77</v>
      </c>
      <c r="O17" s="46" t="s">
        <v>78</v>
      </c>
      <c r="P17" s="46" t="s">
        <v>79</v>
      </c>
      <c r="Q17" s="47"/>
      <c r="R17" s="50" t="s">
        <v>60</v>
      </c>
      <c r="S17" s="50" t="s">
        <v>69</v>
      </c>
      <c r="T17" s="50" t="s">
        <v>77</v>
      </c>
      <c r="U17" s="46" t="s">
        <v>78</v>
      </c>
      <c r="V17" s="46" t="s">
        <v>79</v>
      </c>
      <c r="W17" s="47"/>
      <c r="X17" s="50" t="s">
        <v>60</v>
      </c>
      <c r="Y17" s="50" t="s">
        <v>69</v>
      </c>
      <c r="Z17" s="50" t="s">
        <v>77</v>
      </c>
      <c r="AA17" s="46" t="s">
        <v>78</v>
      </c>
      <c r="AB17" s="46" t="s">
        <v>79</v>
      </c>
      <c r="AC17" s="47"/>
      <c r="AD17" s="50" t="s">
        <v>60</v>
      </c>
      <c r="AE17" s="50" t="s">
        <v>69</v>
      </c>
      <c r="AF17" s="50" t="s">
        <v>77</v>
      </c>
      <c r="AG17" s="50" t="s">
        <v>78</v>
      </c>
      <c r="AH17" s="50" t="s">
        <v>79</v>
      </c>
      <c r="AI17" s="47"/>
      <c r="AJ17" s="50" t="s">
        <v>60</v>
      </c>
      <c r="AK17" s="50" t="s">
        <v>69</v>
      </c>
      <c r="AL17" s="50" t="s">
        <v>77</v>
      </c>
      <c r="AM17" s="46" t="s">
        <v>78</v>
      </c>
      <c r="AN17" s="46" t="s">
        <v>79</v>
      </c>
      <c r="AO17" s="47"/>
      <c r="AP17" s="50" t="s">
        <v>60</v>
      </c>
      <c r="AQ17" s="50" t="s">
        <v>69</v>
      </c>
      <c r="AR17" s="50" t="s">
        <v>77</v>
      </c>
      <c r="AS17" s="50" t="s">
        <v>78</v>
      </c>
      <c r="AT17" s="50" t="s">
        <v>79</v>
      </c>
      <c r="AU17" s="51" t="s">
        <v>80</v>
      </c>
      <c r="AV17" s="49" t="s">
        <v>60</v>
      </c>
      <c r="AW17" s="50" t="s">
        <v>69</v>
      </c>
      <c r="AX17" s="50" t="s">
        <v>77</v>
      </c>
      <c r="AY17" s="50" t="s">
        <v>78</v>
      </c>
      <c r="AZ17" s="50" t="s">
        <v>79</v>
      </c>
      <c r="BA17" s="51" t="s">
        <v>80</v>
      </c>
      <c r="BB17" s="49" t="s">
        <v>60</v>
      </c>
      <c r="BC17" s="50" t="s">
        <v>69</v>
      </c>
      <c r="BD17" s="50" t="s">
        <v>77</v>
      </c>
      <c r="BE17" s="50" t="s">
        <v>78</v>
      </c>
      <c r="BF17" s="50" t="s">
        <v>79</v>
      </c>
      <c r="BG17" s="51" t="s">
        <v>80</v>
      </c>
      <c r="BH17" s="49" t="s">
        <v>60</v>
      </c>
      <c r="BI17" s="50" t="s">
        <v>69</v>
      </c>
      <c r="BJ17" s="50" t="s">
        <v>77</v>
      </c>
      <c r="BK17" s="50" t="s">
        <v>78</v>
      </c>
      <c r="BL17" s="50" t="s">
        <v>79</v>
      </c>
      <c r="BM17" s="52" t="s">
        <v>80</v>
      </c>
    </row>
    <row r="18">
      <c r="A18" s="54" t="s">
        <v>91</v>
      </c>
      <c r="E18" s="71">
        <v>1.0</v>
      </c>
      <c r="F18" s="62" t="s">
        <v>84</v>
      </c>
      <c r="G18" s="62" t="s">
        <v>83</v>
      </c>
      <c r="H18" s="62" t="s">
        <v>83</v>
      </c>
      <c r="I18" s="63"/>
      <c r="J18" s="63" t="s">
        <v>83</v>
      </c>
      <c r="K18" s="50">
        <v>2.0</v>
      </c>
      <c r="L18" s="62" t="s">
        <v>83</v>
      </c>
      <c r="M18" s="62" t="s">
        <v>84</v>
      </c>
      <c r="N18" s="62" t="s">
        <v>83</v>
      </c>
      <c r="O18" s="63"/>
      <c r="P18" s="63" t="s">
        <v>83</v>
      </c>
      <c r="Q18" s="50">
        <v>3.0</v>
      </c>
      <c r="R18" s="62" t="s">
        <v>83</v>
      </c>
      <c r="S18" s="62" t="s">
        <v>84</v>
      </c>
      <c r="T18" s="62" t="s">
        <v>83</v>
      </c>
      <c r="U18" s="63"/>
      <c r="V18" s="63" t="s">
        <v>83</v>
      </c>
      <c r="W18" s="50">
        <v>4.0</v>
      </c>
      <c r="X18" s="62" t="s">
        <v>84</v>
      </c>
      <c r="Y18" s="62" t="s">
        <v>83</v>
      </c>
      <c r="Z18" s="62" t="s">
        <v>83</v>
      </c>
      <c r="AA18" s="63"/>
      <c r="AB18" s="63" t="s">
        <v>83</v>
      </c>
      <c r="AC18" s="50">
        <v>5.0</v>
      </c>
      <c r="AD18" s="62" t="s">
        <v>83</v>
      </c>
      <c r="AE18" s="62" t="s">
        <v>83</v>
      </c>
      <c r="AF18" s="62" t="s">
        <v>83</v>
      </c>
      <c r="AG18" s="63"/>
      <c r="AH18" s="63" t="s">
        <v>83</v>
      </c>
      <c r="AI18" s="50">
        <v>6.0</v>
      </c>
      <c r="AJ18" s="62" t="s">
        <v>83</v>
      </c>
      <c r="AK18" s="62" t="s">
        <v>84</v>
      </c>
      <c r="AL18" s="62" t="s">
        <v>84</v>
      </c>
      <c r="AM18" s="63" t="s">
        <v>84</v>
      </c>
      <c r="AN18" s="63" t="s">
        <v>83</v>
      </c>
      <c r="AO18" s="50">
        <v>7.0</v>
      </c>
      <c r="AP18" s="62" t="s">
        <v>83</v>
      </c>
      <c r="AQ18" s="62" t="s">
        <v>83</v>
      </c>
      <c r="AR18" s="62" t="s">
        <v>83</v>
      </c>
      <c r="AS18" s="62" t="s">
        <v>84</v>
      </c>
      <c r="AT18" s="62" t="s">
        <v>83</v>
      </c>
      <c r="AU18" s="64" t="s">
        <v>83</v>
      </c>
      <c r="AV18" s="62" t="s">
        <v>83</v>
      </c>
      <c r="AW18" s="62" t="s">
        <v>83</v>
      </c>
      <c r="AX18" s="62" t="s">
        <v>83</v>
      </c>
      <c r="AY18" s="62" t="s">
        <v>83</v>
      </c>
      <c r="AZ18" s="62" t="s">
        <v>83</v>
      </c>
      <c r="BA18" s="64" t="s">
        <v>83</v>
      </c>
      <c r="BB18" s="62" t="s">
        <v>83</v>
      </c>
      <c r="BC18" s="62" t="s">
        <v>83</v>
      </c>
      <c r="BD18" s="62" t="s">
        <v>83</v>
      </c>
      <c r="BE18" s="63" t="s">
        <v>83</v>
      </c>
      <c r="BF18" s="63" t="s">
        <v>83</v>
      </c>
      <c r="BG18" s="88" t="s">
        <v>83</v>
      </c>
      <c r="BH18" s="62" t="s">
        <v>83</v>
      </c>
      <c r="BI18" s="62" t="s">
        <v>83</v>
      </c>
      <c r="BJ18" s="62" t="s">
        <v>83</v>
      </c>
      <c r="BK18" s="63" t="s">
        <v>83</v>
      </c>
      <c r="BL18" s="63" t="s">
        <v>83</v>
      </c>
      <c r="BM18" s="88" t="s">
        <v>83</v>
      </c>
    </row>
    <row r="19">
      <c r="E19" s="71">
        <v>8.0</v>
      </c>
      <c r="F19" s="62" t="s">
        <v>83</v>
      </c>
      <c r="G19" s="62" t="s">
        <v>83</v>
      </c>
      <c r="H19" s="62" t="s">
        <v>83</v>
      </c>
      <c r="I19" s="63"/>
      <c r="J19" s="63" t="s">
        <v>83</v>
      </c>
      <c r="K19" s="50">
        <v>9.0</v>
      </c>
      <c r="L19" s="62" t="s">
        <v>83</v>
      </c>
      <c r="M19" s="62" t="s">
        <v>83</v>
      </c>
      <c r="N19" s="62" t="s">
        <v>83</v>
      </c>
      <c r="O19" s="63"/>
      <c r="P19" s="63" t="s">
        <v>83</v>
      </c>
      <c r="Q19" s="50">
        <v>10.0</v>
      </c>
      <c r="R19" s="62" t="s">
        <v>83</v>
      </c>
      <c r="S19" s="62" t="s">
        <v>83</v>
      </c>
      <c r="T19" s="62" t="s">
        <v>83</v>
      </c>
      <c r="U19" s="63"/>
      <c r="V19" s="63" t="s">
        <v>83</v>
      </c>
      <c r="W19" s="50">
        <v>11.0</v>
      </c>
      <c r="X19" s="62" t="s">
        <v>83</v>
      </c>
      <c r="Y19" s="62" t="s">
        <v>83</v>
      </c>
      <c r="Z19" s="62" t="s">
        <v>83</v>
      </c>
      <c r="AA19" s="63"/>
      <c r="AB19" s="63" t="s">
        <v>83</v>
      </c>
      <c r="AC19" s="50">
        <v>12.0</v>
      </c>
      <c r="AD19" s="62" t="s">
        <v>83</v>
      </c>
      <c r="AE19" s="62" t="s">
        <v>83</v>
      </c>
      <c r="AF19" s="62" t="s">
        <v>83</v>
      </c>
      <c r="AG19" s="63"/>
      <c r="AH19" s="63" t="s">
        <v>83</v>
      </c>
      <c r="AI19" s="50">
        <v>13.0</v>
      </c>
      <c r="AJ19" s="62" t="s">
        <v>83</v>
      </c>
      <c r="AK19" s="62" t="s">
        <v>83</v>
      </c>
      <c r="AL19" s="62" t="s">
        <v>83</v>
      </c>
      <c r="AM19" s="63"/>
      <c r="AN19" s="63" t="s">
        <v>83</v>
      </c>
      <c r="AO19" s="50">
        <v>14.0</v>
      </c>
      <c r="AP19" s="62" t="s">
        <v>83</v>
      </c>
      <c r="AQ19" s="62" t="s">
        <v>83</v>
      </c>
      <c r="AR19" s="62" t="s">
        <v>83</v>
      </c>
      <c r="AS19" s="62" t="s">
        <v>83</v>
      </c>
      <c r="AT19" s="62" t="s">
        <v>83</v>
      </c>
      <c r="AU19" s="64" t="s">
        <v>83</v>
      </c>
      <c r="AV19" s="62" t="s">
        <v>83</v>
      </c>
      <c r="AW19" s="62" t="s">
        <v>83</v>
      </c>
      <c r="AX19" s="62" t="s">
        <v>83</v>
      </c>
      <c r="AY19" s="62" t="s">
        <v>83</v>
      </c>
      <c r="AZ19" s="62" t="s">
        <v>83</v>
      </c>
      <c r="BA19" s="64" t="s">
        <v>83</v>
      </c>
      <c r="BB19" s="62" t="s">
        <v>83</v>
      </c>
      <c r="BC19" s="62" t="s">
        <v>83</v>
      </c>
      <c r="BD19" s="62" t="s">
        <v>83</v>
      </c>
      <c r="BE19" s="63" t="s">
        <v>83</v>
      </c>
      <c r="BF19" s="63" t="s">
        <v>83</v>
      </c>
      <c r="BG19" s="88" t="s">
        <v>83</v>
      </c>
      <c r="BH19" s="62" t="s">
        <v>83</v>
      </c>
      <c r="BI19" s="62" t="s">
        <v>83</v>
      </c>
      <c r="BJ19" s="62" t="s">
        <v>83</v>
      </c>
      <c r="BK19" s="63" t="s">
        <v>83</v>
      </c>
      <c r="BL19" s="63" t="s">
        <v>83</v>
      </c>
      <c r="BM19" s="88" t="s">
        <v>83</v>
      </c>
    </row>
    <row r="20">
      <c r="A20" s="89" t="s">
        <v>92</v>
      </c>
      <c r="E20" s="71">
        <v>15.0</v>
      </c>
      <c r="F20" s="62" t="s">
        <v>83</v>
      </c>
      <c r="G20" s="62" t="s">
        <v>83</v>
      </c>
      <c r="H20" s="62" t="s">
        <v>83</v>
      </c>
      <c r="I20" s="63"/>
      <c r="J20" s="63" t="s">
        <v>83</v>
      </c>
      <c r="K20" s="50">
        <v>16.0</v>
      </c>
      <c r="L20" s="62" t="s">
        <v>83</v>
      </c>
      <c r="M20" s="62" t="s">
        <v>83</v>
      </c>
      <c r="N20" s="62" t="s">
        <v>83</v>
      </c>
      <c r="O20" s="63"/>
      <c r="P20" s="63" t="s">
        <v>83</v>
      </c>
      <c r="Q20" s="50">
        <v>17.0</v>
      </c>
      <c r="R20" s="62" t="s">
        <v>83</v>
      </c>
      <c r="S20" s="62" t="s">
        <v>83</v>
      </c>
      <c r="T20" s="62" t="s">
        <v>83</v>
      </c>
      <c r="U20" s="63"/>
      <c r="V20" s="63" t="s">
        <v>83</v>
      </c>
      <c r="W20" s="50">
        <v>18.0</v>
      </c>
      <c r="X20" s="62" t="s">
        <v>83</v>
      </c>
      <c r="Y20" s="62" t="s">
        <v>83</v>
      </c>
      <c r="Z20" s="62" t="s">
        <v>83</v>
      </c>
      <c r="AA20" s="63"/>
      <c r="AB20" s="63" t="s">
        <v>83</v>
      </c>
      <c r="AC20" s="50">
        <v>19.0</v>
      </c>
      <c r="AD20" s="62" t="s">
        <v>83</v>
      </c>
      <c r="AE20" s="62" t="s">
        <v>83</v>
      </c>
      <c r="AF20" s="62" t="s">
        <v>83</v>
      </c>
      <c r="AG20" s="63"/>
      <c r="AH20" s="63" t="s">
        <v>83</v>
      </c>
      <c r="AI20" s="50">
        <v>20.0</v>
      </c>
      <c r="AJ20" s="62" t="s">
        <v>83</v>
      </c>
      <c r="AK20" s="62" t="s">
        <v>83</v>
      </c>
      <c r="AL20" s="62" t="s">
        <v>83</v>
      </c>
      <c r="AM20" s="63"/>
      <c r="AN20" s="63" t="s">
        <v>83</v>
      </c>
      <c r="AO20" s="50">
        <v>21.0</v>
      </c>
      <c r="AP20" s="62" t="s">
        <v>83</v>
      </c>
      <c r="AQ20" s="62" t="s">
        <v>83</v>
      </c>
      <c r="AR20" s="62" t="s">
        <v>83</v>
      </c>
      <c r="AS20" s="62" t="s">
        <v>83</v>
      </c>
      <c r="AT20" s="62" t="s">
        <v>83</v>
      </c>
      <c r="AU20" s="64" t="s">
        <v>83</v>
      </c>
      <c r="AV20" s="62" t="s">
        <v>83</v>
      </c>
      <c r="AW20" s="62" t="s">
        <v>83</v>
      </c>
      <c r="AX20" s="62" t="s">
        <v>83</v>
      </c>
      <c r="AY20" s="62" t="s">
        <v>83</v>
      </c>
      <c r="AZ20" s="62" t="s">
        <v>83</v>
      </c>
      <c r="BA20" s="64" t="s">
        <v>83</v>
      </c>
      <c r="BB20" s="62" t="s">
        <v>83</v>
      </c>
      <c r="BC20" s="62" t="s">
        <v>83</v>
      </c>
      <c r="BD20" s="62" t="s">
        <v>83</v>
      </c>
      <c r="BE20" s="63" t="s">
        <v>83</v>
      </c>
      <c r="BF20" s="63" t="s">
        <v>83</v>
      </c>
      <c r="BG20" s="88" t="s">
        <v>83</v>
      </c>
      <c r="BH20" s="62" t="s">
        <v>83</v>
      </c>
      <c r="BI20" s="62" t="s">
        <v>83</v>
      </c>
      <c r="BJ20" s="62" t="s">
        <v>83</v>
      </c>
      <c r="BK20" s="63" t="s">
        <v>83</v>
      </c>
      <c r="BL20" s="63" t="s">
        <v>83</v>
      </c>
      <c r="BM20" s="88" t="s">
        <v>83</v>
      </c>
    </row>
    <row r="21">
      <c r="E21" s="71">
        <v>22.0</v>
      </c>
      <c r="F21" s="62" t="s">
        <v>83</v>
      </c>
      <c r="G21" s="62" t="s">
        <v>83</v>
      </c>
      <c r="H21" s="62" t="s">
        <v>83</v>
      </c>
      <c r="I21" s="63"/>
      <c r="J21" s="63" t="s">
        <v>83</v>
      </c>
      <c r="K21" s="50">
        <v>23.0</v>
      </c>
      <c r="L21" s="62" t="s">
        <v>83</v>
      </c>
      <c r="M21" s="62" t="s">
        <v>83</v>
      </c>
      <c r="N21" s="62" t="s">
        <v>83</v>
      </c>
      <c r="O21" s="63"/>
      <c r="P21" s="63" t="s">
        <v>83</v>
      </c>
      <c r="Q21" s="50">
        <v>24.0</v>
      </c>
      <c r="R21" s="62" t="s">
        <v>83</v>
      </c>
      <c r="S21" s="62" t="s">
        <v>83</v>
      </c>
      <c r="T21" s="62" t="s">
        <v>83</v>
      </c>
      <c r="U21" s="63"/>
      <c r="V21" s="63" t="s">
        <v>83</v>
      </c>
      <c r="W21" s="45">
        <v>25.0</v>
      </c>
      <c r="X21" s="62" t="s">
        <v>83</v>
      </c>
      <c r="Y21" s="62" t="s">
        <v>83</v>
      </c>
      <c r="Z21" s="62" t="s">
        <v>83</v>
      </c>
      <c r="AA21" s="63"/>
      <c r="AB21" s="63" t="s">
        <v>83</v>
      </c>
      <c r="AC21" s="45">
        <v>26.0</v>
      </c>
      <c r="AD21" s="62" t="s">
        <v>83</v>
      </c>
      <c r="AE21" s="62" t="s">
        <v>83</v>
      </c>
      <c r="AF21" s="62" t="s">
        <v>83</v>
      </c>
      <c r="AG21" s="63"/>
      <c r="AH21" s="63" t="s">
        <v>83</v>
      </c>
      <c r="AI21" s="45">
        <v>27.0</v>
      </c>
      <c r="AJ21" s="62" t="s">
        <v>83</v>
      </c>
      <c r="AK21" s="62" t="s">
        <v>83</v>
      </c>
      <c r="AL21" s="62" t="s">
        <v>83</v>
      </c>
      <c r="AM21" s="63"/>
      <c r="AN21" s="63" t="s">
        <v>83</v>
      </c>
      <c r="AO21" s="45">
        <v>28.0</v>
      </c>
      <c r="AP21" s="62" t="s">
        <v>83</v>
      </c>
      <c r="AQ21" s="62" t="s">
        <v>83</v>
      </c>
      <c r="AR21" s="62" t="s">
        <v>83</v>
      </c>
      <c r="AS21" s="62" t="s">
        <v>83</v>
      </c>
      <c r="AT21" s="62" t="s">
        <v>83</v>
      </c>
      <c r="AU21" s="64" t="s">
        <v>83</v>
      </c>
      <c r="AV21" s="62" t="s">
        <v>83</v>
      </c>
      <c r="AW21" s="62" t="s">
        <v>83</v>
      </c>
      <c r="AX21" s="62" t="s">
        <v>83</v>
      </c>
      <c r="AY21" s="62" t="s">
        <v>83</v>
      </c>
      <c r="AZ21" s="62" t="s">
        <v>83</v>
      </c>
      <c r="BA21" s="64" t="s">
        <v>83</v>
      </c>
      <c r="BB21" s="62" t="s">
        <v>83</v>
      </c>
      <c r="BC21" s="62" t="s">
        <v>83</v>
      </c>
      <c r="BD21" s="62" t="s">
        <v>83</v>
      </c>
      <c r="BE21" s="63" t="s">
        <v>83</v>
      </c>
      <c r="BF21" s="63" t="s">
        <v>83</v>
      </c>
      <c r="BG21" s="88" t="s">
        <v>83</v>
      </c>
      <c r="BH21" s="62" t="s">
        <v>83</v>
      </c>
      <c r="BI21" s="62" t="s">
        <v>83</v>
      </c>
      <c r="BJ21" s="62" t="s">
        <v>83</v>
      </c>
      <c r="BK21" s="63" t="s">
        <v>83</v>
      </c>
      <c r="BL21" s="63" t="s">
        <v>83</v>
      </c>
      <c r="BM21" s="88" t="s">
        <v>83</v>
      </c>
    </row>
    <row r="22">
      <c r="E22" s="75">
        <v>29.0</v>
      </c>
      <c r="F22" s="76" t="s">
        <v>83</v>
      </c>
      <c r="G22" s="76" t="s">
        <v>83</v>
      </c>
      <c r="H22" s="76" t="s">
        <v>83</v>
      </c>
      <c r="I22" s="77"/>
      <c r="J22" s="77" t="s">
        <v>83</v>
      </c>
      <c r="K22" s="78">
        <v>30.0</v>
      </c>
      <c r="L22" s="76" t="s">
        <v>83</v>
      </c>
      <c r="M22" s="76" t="s">
        <v>83</v>
      </c>
      <c r="N22" s="76" t="s">
        <v>83</v>
      </c>
      <c r="O22" s="77"/>
      <c r="P22" s="77" t="s">
        <v>83</v>
      </c>
      <c r="Q22" s="78">
        <v>31.0</v>
      </c>
      <c r="R22" s="76" t="s">
        <v>83</v>
      </c>
      <c r="S22" s="76" t="s">
        <v>83</v>
      </c>
      <c r="T22" s="76" t="s">
        <v>83</v>
      </c>
      <c r="U22" s="77"/>
      <c r="V22" s="77" t="s">
        <v>83</v>
      </c>
      <c r="W22" s="90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2"/>
    </row>
    <row r="25">
      <c r="E25" s="29"/>
      <c r="F25" s="30" t="s">
        <v>93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2"/>
    </row>
    <row r="26">
      <c r="E26" s="29"/>
      <c r="F26" s="36" t="s">
        <v>62</v>
      </c>
      <c r="K26" s="87"/>
      <c r="L26" s="36" t="s">
        <v>63</v>
      </c>
      <c r="Q26" s="87"/>
      <c r="R26" s="36" t="s">
        <v>64</v>
      </c>
      <c r="W26" s="87"/>
      <c r="X26" s="36" t="s">
        <v>65</v>
      </c>
      <c r="AC26" s="87"/>
      <c r="AD26" s="36" t="s">
        <v>66</v>
      </c>
      <c r="AI26" s="87"/>
      <c r="AJ26" s="36" t="s">
        <v>67</v>
      </c>
      <c r="AO26" s="87"/>
      <c r="AP26" s="36" t="s">
        <v>57</v>
      </c>
      <c r="BM26" s="38"/>
    </row>
    <row r="27">
      <c r="E27" s="43"/>
      <c r="F27" s="40" t="s">
        <v>70</v>
      </c>
      <c r="H27" s="40" t="s">
        <v>71</v>
      </c>
      <c r="I27" s="40" t="s">
        <v>72</v>
      </c>
      <c r="K27" s="41"/>
      <c r="L27" s="40" t="s">
        <v>70</v>
      </c>
      <c r="N27" s="40" t="s">
        <v>71</v>
      </c>
      <c r="O27" s="40" t="s">
        <v>72</v>
      </c>
      <c r="Q27" s="41"/>
      <c r="R27" s="40" t="s">
        <v>70</v>
      </c>
      <c r="T27" s="40" t="s">
        <v>71</v>
      </c>
      <c r="U27" s="40" t="s">
        <v>72</v>
      </c>
      <c r="W27" s="41"/>
      <c r="X27" s="40" t="s">
        <v>70</v>
      </c>
      <c r="Z27" s="40" t="s">
        <v>71</v>
      </c>
      <c r="AA27" s="40" t="s">
        <v>72</v>
      </c>
      <c r="AC27" s="41"/>
      <c r="AD27" s="40" t="s">
        <v>70</v>
      </c>
      <c r="AF27" s="40" t="s">
        <v>71</v>
      </c>
      <c r="AG27" s="40" t="s">
        <v>72</v>
      </c>
      <c r="AI27" s="41"/>
      <c r="AJ27" s="40" t="s">
        <v>70</v>
      </c>
      <c r="AL27" s="40" t="s">
        <v>71</v>
      </c>
      <c r="AM27" s="40" t="s">
        <v>72</v>
      </c>
      <c r="AO27" s="41"/>
      <c r="AP27" s="40" t="s">
        <v>73</v>
      </c>
      <c r="AU27" s="42"/>
      <c r="AV27" s="40" t="s">
        <v>74</v>
      </c>
      <c r="BA27" s="42"/>
      <c r="BB27" s="40" t="s">
        <v>75</v>
      </c>
      <c r="BE27" s="40" t="s">
        <v>72</v>
      </c>
      <c r="BG27" s="42"/>
      <c r="BH27" s="40" t="s">
        <v>70</v>
      </c>
      <c r="BK27" s="40" t="s">
        <v>72</v>
      </c>
      <c r="BM27" s="38"/>
    </row>
    <row r="28">
      <c r="E28" s="43"/>
      <c r="F28" s="50" t="s">
        <v>60</v>
      </c>
      <c r="G28" s="50" t="s">
        <v>69</v>
      </c>
      <c r="H28" s="50" t="s">
        <v>77</v>
      </c>
      <c r="I28" s="46" t="s">
        <v>78</v>
      </c>
      <c r="J28" s="46" t="s">
        <v>79</v>
      </c>
      <c r="K28" s="47"/>
      <c r="L28" s="49" t="s">
        <v>60</v>
      </c>
      <c r="M28" s="50" t="s">
        <v>69</v>
      </c>
      <c r="N28" s="50" t="s">
        <v>77</v>
      </c>
      <c r="O28" s="46" t="s">
        <v>78</v>
      </c>
      <c r="P28" s="46" t="s">
        <v>79</v>
      </c>
      <c r="Q28" s="47"/>
      <c r="R28" s="50" t="s">
        <v>60</v>
      </c>
      <c r="S28" s="50" t="s">
        <v>69</v>
      </c>
      <c r="T28" s="50" t="s">
        <v>77</v>
      </c>
      <c r="U28" s="46" t="s">
        <v>78</v>
      </c>
      <c r="V28" s="46" t="s">
        <v>79</v>
      </c>
      <c r="W28" s="47"/>
      <c r="X28" s="50" t="s">
        <v>60</v>
      </c>
      <c r="Y28" s="50" t="s">
        <v>69</v>
      </c>
      <c r="Z28" s="50" t="s">
        <v>77</v>
      </c>
      <c r="AA28" s="46" t="s">
        <v>78</v>
      </c>
      <c r="AB28" s="46" t="s">
        <v>79</v>
      </c>
      <c r="AC28" s="47"/>
      <c r="AD28" s="50" t="s">
        <v>60</v>
      </c>
      <c r="AE28" s="50" t="s">
        <v>69</v>
      </c>
      <c r="AF28" s="50" t="s">
        <v>77</v>
      </c>
      <c r="AG28" s="46" t="s">
        <v>78</v>
      </c>
      <c r="AH28" s="46" t="s">
        <v>79</v>
      </c>
      <c r="AI28" s="47"/>
      <c r="AJ28" s="50" t="s">
        <v>60</v>
      </c>
      <c r="AK28" s="50" t="s">
        <v>69</v>
      </c>
      <c r="AL28" s="50" t="s">
        <v>77</v>
      </c>
      <c r="AM28" s="46" t="s">
        <v>78</v>
      </c>
      <c r="AN28" s="46" t="s">
        <v>79</v>
      </c>
      <c r="AO28" s="47"/>
      <c r="AP28" s="50" t="s">
        <v>60</v>
      </c>
      <c r="AQ28" s="50" t="s">
        <v>69</v>
      </c>
      <c r="AR28" s="50" t="s">
        <v>77</v>
      </c>
      <c r="AS28" s="50" t="s">
        <v>78</v>
      </c>
      <c r="AT28" s="50" t="s">
        <v>79</v>
      </c>
      <c r="AU28" s="51" t="s">
        <v>80</v>
      </c>
      <c r="AV28" s="49" t="s">
        <v>60</v>
      </c>
      <c r="AW28" s="50" t="s">
        <v>69</v>
      </c>
      <c r="AX28" s="50" t="s">
        <v>77</v>
      </c>
      <c r="AY28" s="50" t="s">
        <v>78</v>
      </c>
      <c r="AZ28" s="50" t="s">
        <v>79</v>
      </c>
      <c r="BA28" s="51" t="s">
        <v>80</v>
      </c>
      <c r="BB28" s="49" t="s">
        <v>60</v>
      </c>
      <c r="BC28" s="50" t="s">
        <v>69</v>
      </c>
      <c r="BD28" s="50" t="s">
        <v>77</v>
      </c>
      <c r="BE28" s="50" t="s">
        <v>78</v>
      </c>
      <c r="BF28" s="50" t="s">
        <v>79</v>
      </c>
      <c r="BG28" s="51" t="s">
        <v>80</v>
      </c>
      <c r="BH28" s="49" t="s">
        <v>60</v>
      </c>
      <c r="BI28" s="50" t="s">
        <v>69</v>
      </c>
      <c r="BJ28" s="50" t="s">
        <v>77</v>
      </c>
      <c r="BK28" s="50" t="s">
        <v>78</v>
      </c>
      <c r="BL28" s="50" t="s">
        <v>79</v>
      </c>
      <c r="BM28" s="52" t="s">
        <v>80</v>
      </c>
    </row>
    <row r="29">
      <c r="E29" s="56"/>
      <c r="F29" s="93"/>
      <c r="G29" s="94"/>
      <c r="H29" s="94"/>
      <c r="I29" s="94"/>
      <c r="J29" s="94"/>
      <c r="K29" s="59"/>
      <c r="L29" s="94"/>
      <c r="M29" s="94"/>
      <c r="N29" s="94"/>
      <c r="O29" s="94"/>
      <c r="P29" s="94"/>
      <c r="Q29" s="59"/>
      <c r="R29" s="94"/>
      <c r="S29" s="94"/>
      <c r="T29" s="94"/>
      <c r="U29" s="95"/>
      <c r="V29" s="96"/>
      <c r="W29" s="49">
        <v>1.0</v>
      </c>
      <c r="X29" s="62" t="s">
        <v>83</v>
      </c>
      <c r="Y29" s="62" t="s">
        <v>83</v>
      </c>
      <c r="Z29" s="62" t="s">
        <v>83</v>
      </c>
      <c r="AA29" s="63"/>
      <c r="AB29" s="63" t="s">
        <v>83</v>
      </c>
      <c r="AC29" s="50">
        <v>2.0</v>
      </c>
      <c r="AD29" s="62" t="s">
        <v>83</v>
      </c>
      <c r="AE29" s="62" t="s">
        <v>83</v>
      </c>
      <c r="AF29" s="62" t="s">
        <v>83</v>
      </c>
      <c r="AG29" s="63"/>
      <c r="AH29" s="63" t="s">
        <v>83</v>
      </c>
      <c r="AI29" s="50">
        <v>3.0</v>
      </c>
      <c r="AJ29" s="62" t="s">
        <v>83</v>
      </c>
      <c r="AK29" s="62" t="s">
        <v>83</v>
      </c>
      <c r="AL29" s="62" t="s">
        <v>83</v>
      </c>
      <c r="AM29" s="63"/>
      <c r="AN29" s="63" t="s">
        <v>83</v>
      </c>
      <c r="AO29" s="50">
        <v>4.0</v>
      </c>
      <c r="AP29" s="62" t="s">
        <v>83</v>
      </c>
      <c r="AQ29" s="62" t="s">
        <v>83</v>
      </c>
      <c r="AR29" s="62" t="s">
        <v>83</v>
      </c>
      <c r="AS29" s="62" t="s">
        <v>83</v>
      </c>
      <c r="AT29" s="62" t="s">
        <v>83</v>
      </c>
      <c r="AU29" s="64" t="s">
        <v>83</v>
      </c>
      <c r="AV29" s="62" t="s">
        <v>83</v>
      </c>
      <c r="AW29" s="62" t="s">
        <v>83</v>
      </c>
      <c r="AX29" s="62" t="s">
        <v>83</v>
      </c>
      <c r="AY29" s="62" t="s">
        <v>83</v>
      </c>
      <c r="AZ29" s="62" t="s">
        <v>83</v>
      </c>
      <c r="BA29" s="64" t="s">
        <v>83</v>
      </c>
      <c r="BB29" s="62" t="s">
        <v>83</v>
      </c>
      <c r="BC29" s="62" t="s">
        <v>83</v>
      </c>
      <c r="BD29" s="62" t="s">
        <v>83</v>
      </c>
      <c r="BE29" s="63" t="s">
        <v>83</v>
      </c>
      <c r="BF29" s="63" t="s">
        <v>83</v>
      </c>
      <c r="BG29" s="88" t="s">
        <v>83</v>
      </c>
      <c r="BH29" s="62" t="s">
        <v>83</v>
      </c>
      <c r="BI29" s="62" t="s">
        <v>83</v>
      </c>
      <c r="BJ29" s="62" t="s">
        <v>83</v>
      </c>
      <c r="BK29" s="63" t="s">
        <v>83</v>
      </c>
      <c r="BL29" s="63" t="s">
        <v>83</v>
      </c>
      <c r="BM29" s="88" t="s">
        <v>83</v>
      </c>
    </row>
    <row r="30">
      <c r="E30" s="71">
        <v>5.0</v>
      </c>
      <c r="F30" s="62" t="s">
        <v>83</v>
      </c>
      <c r="G30" s="62" t="s">
        <v>83</v>
      </c>
      <c r="H30" s="62" t="s">
        <v>83</v>
      </c>
      <c r="I30" s="63"/>
      <c r="J30" s="63" t="s">
        <v>83</v>
      </c>
      <c r="K30" s="67">
        <v>6.0</v>
      </c>
      <c r="L30" s="62" t="s">
        <v>83</v>
      </c>
      <c r="M30" s="62" t="s">
        <v>83</v>
      </c>
      <c r="N30" s="62" t="s">
        <v>83</v>
      </c>
      <c r="O30" s="63"/>
      <c r="P30" s="63" t="s">
        <v>83</v>
      </c>
      <c r="Q30" s="67">
        <v>7.0</v>
      </c>
      <c r="R30" s="62" t="s">
        <v>83</v>
      </c>
      <c r="S30" s="62" t="s">
        <v>83</v>
      </c>
      <c r="T30" s="62" t="s">
        <v>83</v>
      </c>
      <c r="U30" s="63"/>
      <c r="V30" s="63" t="s">
        <v>83</v>
      </c>
      <c r="W30" s="50">
        <v>8.0</v>
      </c>
      <c r="X30" s="62" t="s">
        <v>83</v>
      </c>
      <c r="Y30" s="62" t="s">
        <v>83</v>
      </c>
      <c r="Z30" s="62" t="s">
        <v>83</v>
      </c>
      <c r="AA30" s="63"/>
      <c r="AB30" s="63" t="s">
        <v>83</v>
      </c>
      <c r="AC30" s="50">
        <v>9.0</v>
      </c>
      <c r="AD30" s="62" t="s">
        <v>83</v>
      </c>
      <c r="AE30" s="62" t="s">
        <v>83</v>
      </c>
      <c r="AF30" s="62" t="s">
        <v>83</v>
      </c>
      <c r="AG30" s="63"/>
      <c r="AH30" s="63" t="s">
        <v>83</v>
      </c>
      <c r="AI30" s="50">
        <v>10.0</v>
      </c>
      <c r="AJ30" s="62" t="s">
        <v>83</v>
      </c>
      <c r="AK30" s="62" t="s">
        <v>83</v>
      </c>
      <c r="AL30" s="62" t="s">
        <v>83</v>
      </c>
      <c r="AM30" s="63"/>
      <c r="AN30" s="63" t="s">
        <v>83</v>
      </c>
      <c r="AO30" s="50">
        <v>11.0</v>
      </c>
      <c r="AP30" s="62" t="s">
        <v>83</v>
      </c>
      <c r="AQ30" s="62" t="s">
        <v>83</v>
      </c>
      <c r="AR30" s="62" t="s">
        <v>83</v>
      </c>
      <c r="AS30" s="62" t="s">
        <v>83</v>
      </c>
      <c r="AT30" s="62" t="s">
        <v>83</v>
      </c>
      <c r="AU30" s="64" t="s">
        <v>83</v>
      </c>
      <c r="AV30" s="62" t="s">
        <v>83</v>
      </c>
      <c r="AW30" s="62" t="s">
        <v>83</v>
      </c>
      <c r="AX30" s="62" t="s">
        <v>83</v>
      </c>
      <c r="AY30" s="62" t="s">
        <v>83</v>
      </c>
      <c r="AZ30" s="62" t="s">
        <v>83</v>
      </c>
      <c r="BA30" s="64" t="s">
        <v>83</v>
      </c>
      <c r="BB30" s="62" t="s">
        <v>83</v>
      </c>
      <c r="BC30" s="62" t="s">
        <v>83</v>
      </c>
      <c r="BD30" s="62" t="s">
        <v>83</v>
      </c>
      <c r="BE30" s="63" t="s">
        <v>83</v>
      </c>
      <c r="BF30" s="63" t="s">
        <v>83</v>
      </c>
      <c r="BG30" s="88" t="s">
        <v>83</v>
      </c>
      <c r="BH30" s="62" t="s">
        <v>83</v>
      </c>
      <c r="BI30" s="62" t="s">
        <v>83</v>
      </c>
      <c r="BJ30" s="62" t="s">
        <v>83</v>
      </c>
      <c r="BK30" s="63" t="s">
        <v>83</v>
      </c>
      <c r="BL30" s="63" t="s">
        <v>83</v>
      </c>
      <c r="BM30" s="88" t="s">
        <v>83</v>
      </c>
    </row>
    <row r="31">
      <c r="E31" s="71">
        <v>12.0</v>
      </c>
      <c r="F31" s="62" t="s">
        <v>83</v>
      </c>
      <c r="G31" s="62" t="s">
        <v>83</v>
      </c>
      <c r="H31" s="62" t="s">
        <v>83</v>
      </c>
      <c r="I31" s="63"/>
      <c r="J31" s="63" t="s">
        <v>83</v>
      </c>
      <c r="K31" s="50">
        <v>13.0</v>
      </c>
      <c r="L31" s="62" t="s">
        <v>83</v>
      </c>
      <c r="M31" s="62" t="s">
        <v>83</v>
      </c>
      <c r="N31" s="62" t="s">
        <v>83</v>
      </c>
      <c r="O31" s="63"/>
      <c r="P31" s="63" t="s">
        <v>83</v>
      </c>
      <c r="Q31" s="50">
        <v>14.0</v>
      </c>
      <c r="R31" s="62" t="s">
        <v>83</v>
      </c>
      <c r="S31" s="62" t="s">
        <v>83</v>
      </c>
      <c r="T31" s="62" t="s">
        <v>83</v>
      </c>
      <c r="U31" s="63"/>
      <c r="V31" s="63" t="s">
        <v>83</v>
      </c>
      <c r="W31" s="50">
        <v>15.0</v>
      </c>
      <c r="X31" s="62" t="s">
        <v>83</v>
      </c>
      <c r="Y31" s="62" t="s">
        <v>83</v>
      </c>
      <c r="Z31" s="62" t="s">
        <v>83</v>
      </c>
      <c r="AA31" s="63"/>
      <c r="AB31" s="63" t="s">
        <v>83</v>
      </c>
      <c r="AC31" s="50">
        <v>16.0</v>
      </c>
      <c r="AD31" s="62" t="s">
        <v>83</v>
      </c>
      <c r="AE31" s="62" t="s">
        <v>83</v>
      </c>
      <c r="AF31" s="62" t="s">
        <v>83</v>
      </c>
      <c r="AG31" s="63"/>
      <c r="AH31" s="63" t="s">
        <v>83</v>
      </c>
      <c r="AI31" s="50">
        <v>17.0</v>
      </c>
      <c r="AJ31" s="62" t="s">
        <v>83</v>
      </c>
      <c r="AK31" s="62" t="s">
        <v>83</v>
      </c>
      <c r="AL31" s="62" t="s">
        <v>83</v>
      </c>
      <c r="AM31" s="63"/>
      <c r="AN31" s="63" t="s">
        <v>83</v>
      </c>
      <c r="AO31" s="50">
        <v>18.0</v>
      </c>
      <c r="AP31" s="62" t="s">
        <v>83</v>
      </c>
      <c r="AQ31" s="62" t="s">
        <v>83</v>
      </c>
      <c r="AR31" s="62" t="s">
        <v>83</v>
      </c>
      <c r="AS31" s="62" t="s">
        <v>83</v>
      </c>
      <c r="AT31" s="62" t="s">
        <v>83</v>
      </c>
      <c r="AU31" s="64" t="s">
        <v>83</v>
      </c>
      <c r="AV31" s="62" t="s">
        <v>83</v>
      </c>
      <c r="AW31" s="62" t="s">
        <v>83</v>
      </c>
      <c r="AX31" s="62" t="s">
        <v>83</v>
      </c>
      <c r="AY31" s="62" t="s">
        <v>83</v>
      </c>
      <c r="AZ31" s="62" t="s">
        <v>83</v>
      </c>
      <c r="BA31" s="64" t="s">
        <v>83</v>
      </c>
      <c r="BB31" s="62" t="s">
        <v>83</v>
      </c>
      <c r="BC31" s="62" t="s">
        <v>83</v>
      </c>
      <c r="BD31" s="62" t="s">
        <v>83</v>
      </c>
      <c r="BE31" s="63" t="s">
        <v>83</v>
      </c>
      <c r="BF31" s="63" t="s">
        <v>83</v>
      </c>
      <c r="BG31" s="88" t="s">
        <v>83</v>
      </c>
      <c r="BH31" s="62" t="s">
        <v>83</v>
      </c>
      <c r="BI31" s="62" t="s">
        <v>83</v>
      </c>
      <c r="BJ31" s="62" t="s">
        <v>83</v>
      </c>
      <c r="BK31" s="63" t="s">
        <v>83</v>
      </c>
      <c r="BL31" s="63" t="s">
        <v>83</v>
      </c>
      <c r="BM31" s="88" t="s">
        <v>83</v>
      </c>
    </row>
    <row r="32">
      <c r="E32" s="71">
        <v>19.0</v>
      </c>
      <c r="F32" s="62" t="s">
        <v>83</v>
      </c>
      <c r="G32" s="62" t="s">
        <v>83</v>
      </c>
      <c r="H32" s="62" t="s">
        <v>83</v>
      </c>
      <c r="I32" s="63"/>
      <c r="J32" s="63" t="s">
        <v>83</v>
      </c>
      <c r="K32" s="50">
        <v>20.0</v>
      </c>
      <c r="L32" s="62" t="s">
        <v>83</v>
      </c>
      <c r="M32" s="62" t="s">
        <v>83</v>
      </c>
      <c r="N32" s="62" t="s">
        <v>83</v>
      </c>
      <c r="O32" s="63"/>
      <c r="P32" s="63" t="s">
        <v>83</v>
      </c>
      <c r="Q32" s="50">
        <v>21.0</v>
      </c>
      <c r="R32" s="62" t="s">
        <v>83</v>
      </c>
      <c r="S32" s="62" t="s">
        <v>83</v>
      </c>
      <c r="T32" s="62" t="s">
        <v>83</v>
      </c>
      <c r="U32" s="63"/>
      <c r="V32" s="63" t="s">
        <v>83</v>
      </c>
      <c r="W32" s="50">
        <v>22.0</v>
      </c>
      <c r="X32" s="62" t="s">
        <v>83</v>
      </c>
      <c r="Y32" s="62" t="s">
        <v>83</v>
      </c>
      <c r="Z32" s="62" t="s">
        <v>83</v>
      </c>
      <c r="AA32" s="63"/>
      <c r="AB32" s="63" t="s">
        <v>83</v>
      </c>
      <c r="AC32" s="50">
        <v>23.0</v>
      </c>
      <c r="AD32" s="62" t="s">
        <v>83</v>
      </c>
      <c r="AE32" s="62" t="s">
        <v>83</v>
      </c>
      <c r="AF32" s="62" t="s">
        <v>83</v>
      </c>
      <c r="AG32" s="63"/>
      <c r="AH32" s="63" t="s">
        <v>83</v>
      </c>
      <c r="AI32" s="50">
        <v>24.0</v>
      </c>
      <c r="AJ32" s="62" t="s">
        <v>83</v>
      </c>
      <c r="AK32" s="62" t="s">
        <v>83</v>
      </c>
      <c r="AL32" s="62" t="s">
        <v>83</v>
      </c>
      <c r="AM32" s="63"/>
      <c r="AN32" s="63" t="s">
        <v>83</v>
      </c>
      <c r="AO32" s="45">
        <v>25.0</v>
      </c>
      <c r="AP32" s="62" t="s">
        <v>83</v>
      </c>
      <c r="AQ32" s="62" t="s">
        <v>83</v>
      </c>
      <c r="AR32" s="62" t="s">
        <v>83</v>
      </c>
      <c r="AS32" s="62" t="s">
        <v>83</v>
      </c>
      <c r="AT32" s="62" t="s">
        <v>83</v>
      </c>
      <c r="AU32" s="64" t="s">
        <v>83</v>
      </c>
      <c r="AV32" s="62" t="s">
        <v>83</v>
      </c>
      <c r="AW32" s="62" t="s">
        <v>83</v>
      </c>
      <c r="AX32" s="62" t="s">
        <v>83</v>
      </c>
      <c r="AY32" s="62" t="s">
        <v>83</v>
      </c>
      <c r="AZ32" s="62" t="s">
        <v>83</v>
      </c>
      <c r="BA32" s="64" t="s">
        <v>83</v>
      </c>
      <c r="BB32" s="62" t="s">
        <v>83</v>
      </c>
      <c r="BC32" s="62" t="s">
        <v>83</v>
      </c>
      <c r="BD32" s="62" t="s">
        <v>83</v>
      </c>
      <c r="BE32" s="63" t="s">
        <v>83</v>
      </c>
      <c r="BF32" s="63" t="s">
        <v>83</v>
      </c>
      <c r="BG32" s="88" t="s">
        <v>83</v>
      </c>
      <c r="BH32" s="62" t="s">
        <v>83</v>
      </c>
      <c r="BI32" s="62" t="s">
        <v>83</v>
      </c>
      <c r="BJ32" s="62" t="s">
        <v>83</v>
      </c>
      <c r="BK32" s="63" t="s">
        <v>83</v>
      </c>
      <c r="BL32" s="63" t="s">
        <v>83</v>
      </c>
      <c r="BM32" s="88" t="s">
        <v>83</v>
      </c>
    </row>
    <row r="33">
      <c r="E33" s="75">
        <v>26.0</v>
      </c>
      <c r="F33" s="76" t="s">
        <v>83</v>
      </c>
      <c r="G33" s="76" t="s">
        <v>83</v>
      </c>
      <c r="H33" s="76" t="s">
        <v>83</v>
      </c>
      <c r="I33" s="77"/>
      <c r="J33" s="77" t="s">
        <v>83</v>
      </c>
      <c r="K33" s="78">
        <v>27.0</v>
      </c>
      <c r="L33" s="76" t="s">
        <v>83</v>
      </c>
      <c r="M33" s="76" t="s">
        <v>83</v>
      </c>
      <c r="N33" s="76" t="s">
        <v>83</v>
      </c>
      <c r="O33" s="77"/>
      <c r="P33" s="77" t="s">
        <v>83</v>
      </c>
      <c r="Q33" s="78">
        <v>28.0</v>
      </c>
      <c r="R33" s="76" t="s">
        <v>83</v>
      </c>
      <c r="S33" s="76" t="s">
        <v>83</v>
      </c>
      <c r="T33" s="76" t="s">
        <v>83</v>
      </c>
      <c r="U33" s="77"/>
      <c r="V33" s="77" t="s">
        <v>83</v>
      </c>
      <c r="W33" s="78">
        <v>29.0</v>
      </c>
      <c r="X33" s="76" t="s">
        <v>83</v>
      </c>
      <c r="Y33" s="76" t="s">
        <v>83</v>
      </c>
      <c r="Z33" s="76" t="s">
        <v>83</v>
      </c>
      <c r="AA33" s="77"/>
      <c r="AB33" s="77" t="s">
        <v>83</v>
      </c>
      <c r="AC33" s="78">
        <v>30.0</v>
      </c>
      <c r="AD33" s="76" t="s">
        <v>83</v>
      </c>
      <c r="AE33" s="76" t="s">
        <v>83</v>
      </c>
      <c r="AF33" s="76" t="s">
        <v>83</v>
      </c>
      <c r="AG33" s="77"/>
      <c r="AH33" s="77" t="s">
        <v>83</v>
      </c>
      <c r="AI33" s="78">
        <v>31.0</v>
      </c>
      <c r="AJ33" s="76" t="s">
        <v>83</v>
      </c>
      <c r="AK33" s="76" t="s">
        <v>83</v>
      </c>
      <c r="AL33" s="76" t="s">
        <v>83</v>
      </c>
      <c r="AM33" s="77"/>
      <c r="AN33" s="77" t="s">
        <v>83</v>
      </c>
      <c r="AO33" s="90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2"/>
    </row>
  </sheetData>
  <mergeCells count="82">
    <mergeCell ref="BB16:BD16"/>
    <mergeCell ref="BE16:BG16"/>
    <mergeCell ref="BH16:BJ16"/>
    <mergeCell ref="BK16:BM16"/>
    <mergeCell ref="A18:C18"/>
    <mergeCell ref="A20:B32"/>
    <mergeCell ref="F16:G16"/>
    <mergeCell ref="I16:J16"/>
    <mergeCell ref="L16:M16"/>
    <mergeCell ref="O16:P16"/>
    <mergeCell ref="R16:S16"/>
    <mergeCell ref="U16:V16"/>
    <mergeCell ref="X16:Y16"/>
    <mergeCell ref="AA16:AB16"/>
    <mergeCell ref="AD16:AE16"/>
    <mergeCell ref="AG16:AH16"/>
    <mergeCell ref="AJ16:AK16"/>
    <mergeCell ref="AM16:AN16"/>
    <mergeCell ref="AP16:AU16"/>
    <mergeCell ref="AV16:BA16"/>
    <mergeCell ref="F25:BM25"/>
    <mergeCell ref="L26:P26"/>
    <mergeCell ref="R26:V26"/>
    <mergeCell ref="X26:AB26"/>
    <mergeCell ref="AD26:AH26"/>
    <mergeCell ref="AJ26:AN26"/>
    <mergeCell ref="AP26:BM26"/>
    <mergeCell ref="F26:J26"/>
    <mergeCell ref="F27:G27"/>
    <mergeCell ref="I27:J27"/>
    <mergeCell ref="L27:M27"/>
    <mergeCell ref="O27:P27"/>
    <mergeCell ref="R27:S27"/>
    <mergeCell ref="U27:V27"/>
    <mergeCell ref="AV27:BA27"/>
    <mergeCell ref="BB27:BD27"/>
    <mergeCell ref="BE27:BG27"/>
    <mergeCell ref="BH27:BJ27"/>
    <mergeCell ref="BK27:BM27"/>
    <mergeCell ref="X27:Y27"/>
    <mergeCell ref="AA27:AB27"/>
    <mergeCell ref="AD27:AE27"/>
    <mergeCell ref="AG27:AH27"/>
    <mergeCell ref="AJ27:AK27"/>
    <mergeCell ref="AM27:AN27"/>
    <mergeCell ref="AP27:AU27"/>
    <mergeCell ref="AJ3:AN3"/>
    <mergeCell ref="AP3:BM3"/>
    <mergeCell ref="A2:C2"/>
    <mergeCell ref="F2:BM2"/>
    <mergeCell ref="F3:J3"/>
    <mergeCell ref="L3:P3"/>
    <mergeCell ref="R3:V3"/>
    <mergeCell ref="X3:AB3"/>
    <mergeCell ref="AD3:AH3"/>
    <mergeCell ref="BB4:BD4"/>
    <mergeCell ref="BE4:BG4"/>
    <mergeCell ref="BH4:BJ4"/>
    <mergeCell ref="BK4:BM4"/>
    <mergeCell ref="AA4:AB4"/>
    <mergeCell ref="AD4:AE4"/>
    <mergeCell ref="AG4:AH4"/>
    <mergeCell ref="AJ4:AK4"/>
    <mergeCell ref="AM4:AN4"/>
    <mergeCell ref="AP4:AU4"/>
    <mergeCell ref="AV4:BA4"/>
    <mergeCell ref="F4:G4"/>
    <mergeCell ref="I4:J4"/>
    <mergeCell ref="L4:M4"/>
    <mergeCell ref="O4:P4"/>
    <mergeCell ref="R4:S4"/>
    <mergeCell ref="U4:V4"/>
    <mergeCell ref="X4:Y4"/>
    <mergeCell ref="AJ15:AN15"/>
    <mergeCell ref="AP15:BM15"/>
    <mergeCell ref="A10:C10"/>
    <mergeCell ref="F14:BM14"/>
    <mergeCell ref="F15:J15"/>
    <mergeCell ref="L15:P15"/>
    <mergeCell ref="R15:V15"/>
    <mergeCell ref="X15:AB15"/>
    <mergeCell ref="AD15:AH15"/>
  </mergeCells>
  <dataValidations>
    <dataValidation type="list" allowBlank="1" showErrorMessage="1" sqref="F7:J10 L7:P10 R7:V10 X7:AB10 AD7:AH10 AJ6:AN10 AP6:BM10 X18:AB21 AD18:AH21 AJ18:AN21 AP18:BM21 F18:J22 L18:P22 R18:V22 AP29:BM32 F30:J33 L30:P33 R30:V33 X29:AB33 AD29:AH33 AJ29:AN33">
      <formula1>"Open,Booked"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 paperHeight="5in" paperWidth="13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41" width="5.13"/>
    <col customWidth="1" min="42" max="42" width="13.88"/>
    <col customWidth="1" min="43" max="43" width="6.38"/>
  </cols>
  <sheetData>
    <row r="1" ht="21.75" customHeight="1">
      <c r="A1" s="97" t="s">
        <v>0</v>
      </c>
      <c r="B1" s="98" t="s">
        <v>94</v>
      </c>
      <c r="C1" s="28"/>
      <c r="D1" s="98" t="s">
        <v>95</v>
      </c>
      <c r="E1" s="28"/>
      <c r="F1" s="98" t="s">
        <v>96</v>
      </c>
      <c r="G1" s="28"/>
      <c r="H1" s="98" t="s">
        <v>97</v>
      </c>
      <c r="I1" s="28"/>
      <c r="J1" s="98" t="s">
        <v>98</v>
      </c>
      <c r="K1" s="28"/>
      <c r="L1" s="98" t="s">
        <v>99</v>
      </c>
      <c r="M1" s="28"/>
      <c r="N1" s="98" t="s">
        <v>100</v>
      </c>
      <c r="O1" s="28"/>
      <c r="P1" s="98" t="s">
        <v>101</v>
      </c>
      <c r="Q1" s="28"/>
      <c r="R1" s="98" t="s">
        <v>102</v>
      </c>
      <c r="S1" s="28"/>
      <c r="T1" s="98" t="s">
        <v>103</v>
      </c>
      <c r="U1" s="28"/>
      <c r="V1" s="98" t="s">
        <v>104</v>
      </c>
      <c r="W1" s="28"/>
      <c r="X1" s="98" t="s">
        <v>105</v>
      </c>
      <c r="Y1" s="28"/>
      <c r="Z1" s="98" t="s">
        <v>106</v>
      </c>
      <c r="AA1" s="28"/>
      <c r="AB1" s="98" t="s">
        <v>107</v>
      </c>
      <c r="AC1" s="28"/>
      <c r="AD1" s="98" t="s">
        <v>108</v>
      </c>
      <c r="AE1" s="28"/>
      <c r="AF1" s="98" t="s">
        <v>109</v>
      </c>
      <c r="AG1" s="28"/>
      <c r="AH1" s="98" t="s">
        <v>110</v>
      </c>
      <c r="AI1" s="28"/>
      <c r="AJ1" s="98" t="s">
        <v>111</v>
      </c>
      <c r="AK1" s="28"/>
      <c r="AL1" s="98" t="s">
        <v>112</v>
      </c>
      <c r="AM1" s="28"/>
      <c r="AN1" s="98" t="s">
        <v>113</v>
      </c>
      <c r="AO1" s="28"/>
      <c r="AP1" s="99" t="s">
        <v>114</v>
      </c>
      <c r="AQ1" s="62" t="s">
        <v>115</v>
      </c>
    </row>
    <row r="2" ht="21.75" customHeight="1">
      <c r="A2" s="100" t="s">
        <v>53</v>
      </c>
      <c r="B2" s="101"/>
      <c r="C2" s="102"/>
      <c r="D2" s="103">
        <v>2.0</v>
      </c>
      <c r="E2" s="104">
        <v>0.0</v>
      </c>
      <c r="F2" s="101"/>
      <c r="G2" s="102"/>
      <c r="H2" s="101"/>
      <c r="I2" s="102"/>
      <c r="J2" s="103">
        <v>2.0</v>
      </c>
      <c r="K2" s="104">
        <v>0.0</v>
      </c>
      <c r="L2" s="103">
        <v>2.0</v>
      </c>
      <c r="M2" s="104">
        <v>0.0</v>
      </c>
      <c r="N2" s="103">
        <v>2.0</v>
      </c>
      <c r="O2" s="104">
        <v>0.0</v>
      </c>
      <c r="P2" s="103">
        <v>2.0</v>
      </c>
      <c r="Q2" s="104">
        <v>0.0</v>
      </c>
      <c r="R2" s="103">
        <v>2.0</v>
      </c>
      <c r="S2" s="104">
        <v>0.0</v>
      </c>
      <c r="T2" s="103">
        <v>2.0</v>
      </c>
      <c r="U2" s="104">
        <v>0.0</v>
      </c>
      <c r="V2" s="101"/>
      <c r="W2" s="102"/>
      <c r="X2" s="101"/>
      <c r="Y2" s="102"/>
      <c r="Z2" s="101"/>
      <c r="AA2" s="102"/>
      <c r="AB2" s="103">
        <v>2.0</v>
      </c>
      <c r="AC2" s="104">
        <v>0.0</v>
      </c>
      <c r="AD2" s="101"/>
      <c r="AE2" s="102"/>
      <c r="AF2" s="101"/>
      <c r="AG2" s="102"/>
      <c r="AH2" s="103">
        <v>2.0</v>
      </c>
      <c r="AI2" s="104">
        <v>0.0</v>
      </c>
      <c r="AJ2" s="105">
        <v>2.0</v>
      </c>
      <c r="AK2" s="105">
        <v>0.0</v>
      </c>
      <c r="AL2" s="103"/>
      <c r="AM2" s="105"/>
      <c r="AN2" s="103">
        <v>0.0</v>
      </c>
      <c r="AO2" s="104">
        <v>0.0</v>
      </c>
      <c r="AP2" s="106">
        <f t="shared" ref="AP2:AP21" si="1">sum(B2,D2,F2,H2,J2,L2,N2,P2,R2,T2,V2,X2,Z2,AB2,AD2,AF2,AH2,AN2,AJ2,AL2)</f>
        <v>20</v>
      </c>
    </row>
    <row r="3" ht="21.75" customHeight="1">
      <c r="A3" s="107" t="s">
        <v>40</v>
      </c>
      <c r="B3" s="108"/>
      <c r="C3" s="109"/>
      <c r="D3" s="108"/>
      <c r="E3" s="109"/>
      <c r="F3" s="108"/>
      <c r="G3" s="109"/>
      <c r="H3" s="110">
        <v>2.0</v>
      </c>
      <c r="I3" s="111">
        <v>0.0</v>
      </c>
      <c r="J3" s="110">
        <v>2.0</v>
      </c>
      <c r="K3" s="111">
        <v>0.0</v>
      </c>
      <c r="L3" s="110">
        <v>2.0</v>
      </c>
      <c r="M3" s="111">
        <v>1.0</v>
      </c>
      <c r="N3" s="108"/>
      <c r="O3" s="109"/>
      <c r="P3" s="110">
        <v>1.0</v>
      </c>
      <c r="Q3" s="111">
        <v>2.0</v>
      </c>
      <c r="R3" s="110">
        <v>2.0</v>
      </c>
      <c r="S3" s="111">
        <v>1.0</v>
      </c>
      <c r="T3" s="110">
        <v>0.0</v>
      </c>
      <c r="U3" s="111">
        <v>0.0</v>
      </c>
      <c r="V3" s="108"/>
      <c r="W3" s="109"/>
      <c r="X3" s="108"/>
      <c r="Y3" s="109"/>
      <c r="Z3" s="108"/>
      <c r="AA3" s="109"/>
      <c r="AB3" s="108"/>
      <c r="AC3" s="109"/>
      <c r="AD3" s="110">
        <v>2.0</v>
      </c>
      <c r="AE3" s="111">
        <v>0.0</v>
      </c>
      <c r="AF3" s="110">
        <v>2.0</v>
      </c>
      <c r="AG3" s="111">
        <v>0.0</v>
      </c>
      <c r="AH3" s="108"/>
      <c r="AI3" s="109"/>
      <c r="AJ3" s="112">
        <v>0.0</v>
      </c>
      <c r="AK3" s="112">
        <v>2.0</v>
      </c>
      <c r="AL3" s="108"/>
      <c r="AM3" s="113"/>
      <c r="AN3" s="110">
        <v>0.0</v>
      </c>
      <c r="AO3" s="111">
        <v>2.0</v>
      </c>
      <c r="AP3" s="106">
        <f t="shared" si="1"/>
        <v>13</v>
      </c>
    </row>
    <row r="4" ht="21.75" customHeight="1">
      <c r="A4" s="114" t="s">
        <v>37</v>
      </c>
      <c r="B4" s="110">
        <v>0.0</v>
      </c>
      <c r="C4" s="111">
        <v>2.0</v>
      </c>
      <c r="D4" s="110">
        <v>0.0</v>
      </c>
      <c r="E4" s="111">
        <v>2.0</v>
      </c>
      <c r="F4" s="110">
        <v>2.0</v>
      </c>
      <c r="G4" s="111">
        <v>0.0</v>
      </c>
      <c r="H4" s="108"/>
      <c r="I4" s="109"/>
      <c r="J4" s="110">
        <v>2.0</v>
      </c>
      <c r="K4" s="111">
        <v>0.0</v>
      </c>
      <c r="L4" s="110">
        <v>0.0</v>
      </c>
      <c r="M4" s="111">
        <v>0.0</v>
      </c>
      <c r="N4" s="110">
        <v>1.0</v>
      </c>
      <c r="O4" s="111">
        <v>2.0</v>
      </c>
      <c r="P4" s="110">
        <v>1.0</v>
      </c>
      <c r="Q4" s="111">
        <v>2.0</v>
      </c>
      <c r="R4" s="110">
        <v>0.0</v>
      </c>
      <c r="S4" s="111">
        <v>2.0</v>
      </c>
      <c r="T4" s="110">
        <v>1.0</v>
      </c>
      <c r="U4" s="111">
        <v>2.0</v>
      </c>
      <c r="V4" s="108"/>
      <c r="W4" s="109"/>
      <c r="X4" s="110">
        <v>0.0</v>
      </c>
      <c r="Y4" s="111">
        <v>2.0</v>
      </c>
      <c r="Z4" s="110">
        <v>0.0</v>
      </c>
      <c r="AA4" s="111">
        <v>2.0</v>
      </c>
      <c r="AB4" s="110">
        <v>1.0</v>
      </c>
      <c r="AC4" s="111">
        <v>2.0</v>
      </c>
      <c r="AD4" s="108"/>
      <c r="AE4" s="109"/>
      <c r="AF4" s="110">
        <v>2.0</v>
      </c>
      <c r="AG4" s="111">
        <v>0.0</v>
      </c>
      <c r="AH4" s="108"/>
      <c r="AI4" s="109"/>
      <c r="AJ4" s="113"/>
      <c r="AK4" s="113"/>
      <c r="AL4" s="110">
        <v>1.0</v>
      </c>
      <c r="AM4" s="112">
        <v>2.0</v>
      </c>
      <c r="AN4" s="110">
        <v>0.0</v>
      </c>
      <c r="AO4" s="111">
        <v>2.0</v>
      </c>
      <c r="AP4" s="106">
        <f t="shared" si="1"/>
        <v>11</v>
      </c>
    </row>
    <row r="5" ht="21.75" customHeight="1">
      <c r="A5" s="115" t="s">
        <v>55</v>
      </c>
      <c r="B5" s="116"/>
      <c r="C5" s="117"/>
      <c r="D5" s="103">
        <v>2.0</v>
      </c>
      <c r="E5" s="104">
        <v>1.0</v>
      </c>
      <c r="F5" s="103">
        <v>2.0</v>
      </c>
      <c r="G5" s="104">
        <v>0.0</v>
      </c>
      <c r="H5" s="116"/>
      <c r="I5" s="117"/>
      <c r="J5" s="103">
        <v>2.0</v>
      </c>
      <c r="K5" s="104">
        <v>0.0</v>
      </c>
      <c r="L5" s="103">
        <v>2.0</v>
      </c>
      <c r="M5" s="104">
        <v>1.0</v>
      </c>
      <c r="N5" s="116"/>
      <c r="O5" s="117"/>
      <c r="P5" s="116"/>
      <c r="Q5" s="117"/>
      <c r="R5" s="116"/>
      <c r="S5" s="117"/>
      <c r="T5" s="116"/>
      <c r="U5" s="117"/>
      <c r="V5" s="116"/>
      <c r="W5" s="117"/>
      <c r="X5" s="116"/>
      <c r="Y5" s="117"/>
      <c r="Z5" s="103"/>
      <c r="AA5" s="104"/>
      <c r="AB5" s="116"/>
      <c r="AC5" s="117"/>
      <c r="AD5" s="103">
        <v>2.0</v>
      </c>
      <c r="AE5" s="104">
        <v>0.0</v>
      </c>
      <c r="AF5" s="116"/>
      <c r="AG5" s="117"/>
      <c r="AH5" s="116"/>
      <c r="AI5" s="117"/>
      <c r="AJ5" s="118"/>
      <c r="AK5" s="118"/>
      <c r="AL5" s="103">
        <v>0.0</v>
      </c>
      <c r="AM5" s="105">
        <v>0.0</v>
      </c>
      <c r="AN5" s="116"/>
      <c r="AO5" s="117"/>
      <c r="AP5" s="106">
        <f t="shared" si="1"/>
        <v>10</v>
      </c>
    </row>
    <row r="6" ht="21.75" customHeight="1">
      <c r="A6" s="114" t="s">
        <v>8</v>
      </c>
      <c r="B6" s="108"/>
      <c r="C6" s="109"/>
      <c r="D6" s="108"/>
      <c r="E6" s="109"/>
      <c r="F6" s="108"/>
      <c r="G6" s="109"/>
      <c r="H6" s="108"/>
      <c r="I6" s="109"/>
      <c r="J6" s="108"/>
      <c r="K6" s="109"/>
      <c r="L6" s="110">
        <v>2.0</v>
      </c>
      <c r="M6" s="111">
        <v>1.0</v>
      </c>
      <c r="N6" s="110">
        <v>1.0</v>
      </c>
      <c r="O6" s="111">
        <v>2.0</v>
      </c>
      <c r="P6" s="110">
        <v>0.0</v>
      </c>
      <c r="Q6" s="111">
        <v>0.0</v>
      </c>
      <c r="R6" s="108"/>
      <c r="S6" s="109"/>
      <c r="T6" s="110">
        <v>2.0</v>
      </c>
      <c r="U6" s="111">
        <v>1.0</v>
      </c>
      <c r="V6" s="108"/>
      <c r="W6" s="109"/>
      <c r="X6" s="110">
        <v>2.0</v>
      </c>
      <c r="Y6" s="111">
        <v>1.0</v>
      </c>
      <c r="Z6" s="108"/>
      <c r="AA6" s="109"/>
      <c r="AB6" s="110">
        <v>2.0</v>
      </c>
      <c r="AC6" s="111">
        <v>0.0</v>
      </c>
      <c r="AD6" s="108"/>
      <c r="AE6" s="109"/>
      <c r="AF6" s="108"/>
      <c r="AG6" s="109"/>
      <c r="AH6" s="108"/>
      <c r="AI6" s="109"/>
      <c r="AJ6" s="113"/>
      <c r="AK6" s="113"/>
      <c r="AL6" s="108"/>
      <c r="AM6" s="113"/>
      <c r="AN6" s="110">
        <v>0.0</v>
      </c>
      <c r="AO6" s="111">
        <v>2.0</v>
      </c>
      <c r="AP6" s="106">
        <f t="shared" si="1"/>
        <v>9</v>
      </c>
    </row>
    <row r="7" ht="21.75" customHeight="1">
      <c r="A7" s="107" t="s">
        <v>32</v>
      </c>
      <c r="B7" s="108"/>
      <c r="C7" s="109"/>
      <c r="D7" s="110">
        <v>0.0</v>
      </c>
      <c r="E7" s="111">
        <v>0.0</v>
      </c>
      <c r="F7" s="108"/>
      <c r="G7" s="109"/>
      <c r="H7" s="108"/>
      <c r="I7" s="109"/>
      <c r="J7" s="108"/>
      <c r="K7" s="109"/>
      <c r="L7" s="110">
        <v>2.0</v>
      </c>
      <c r="M7" s="111">
        <v>0.0</v>
      </c>
      <c r="N7" s="110">
        <v>2.0</v>
      </c>
      <c r="O7" s="111">
        <v>0.0</v>
      </c>
      <c r="P7" s="108"/>
      <c r="Q7" s="109"/>
      <c r="R7" s="110">
        <v>2.0</v>
      </c>
      <c r="S7" s="111">
        <v>0.0</v>
      </c>
      <c r="T7" s="108"/>
      <c r="U7" s="109"/>
      <c r="V7" s="108"/>
      <c r="W7" s="109"/>
      <c r="X7" s="108"/>
      <c r="Y7" s="109"/>
      <c r="Z7" s="108"/>
      <c r="AA7" s="109"/>
      <c r="AB7" s="108"/>
      <c r="AC7" s="109"/>
      <c r="AD7" s="108"/>
      <c r="AE7" s="109"/>
      <c r="AF7" s="108"/>
      <c r="AG7" s="109"/>
      <c r="AH7" s="108"/>
      <c r="AI7" s="109"/>
      <c r="AJ7" s="112">
        <v>2.0</v>
      </c>
      <c r="AK7" s="112">
        <v>0.0</v>
      </c>
      <c r="AL7" s="110">
        <v>1.0</v>
      </c>
      <c r="AM7" s="112">
        <v>2.0</v>
      </c>
      <c r="AN7" s="110">
        <v>0.0</v>
      </c>
      <c r="AO7" s="111">
        <v>2.0</v>
      </c>
      <c r="AP7" s="106">
        <f t="shared" si="1"/>
        <v>9</v>
      </c>
    </row>
    <row r="8" ht="21.75" customHeight="1">
      <c r="A8" s="114" t="s">
        <v>7</v>
      </c>
      <c r="B8" s="116"/>
      <c r="C8" s="117"/>
      <c r="D8" s="103">
        <v>0.0</v>
      </c>
      <c r="E8" s="104">
        <v>2.0</v>
      </c>
      <c r="F8" s="116"/>
      <c r="G8" s="117"/>
      <c r="H8" s="116"/>
      <c r="I8" s="117"/>
      <c r="J8" s="116"/>
      <c r="K8" s="117"/>
      <c r="L8" s="103">
        <v>2.0</v>
      </c>
      <c r="M8" s="104">
        <v>1.0</v>
      </c>
      <c r="N8" s="103">
        <v>0.0</v>
      </c>
      <c r="O8" s="104">
        <v>0.0</v>
      </c>
      <c r="P8" s="103">
        <v>2.0</v>
      </c>
      <c r="Q8" s="104">
        <v>1.0</v>
      </c>
      <c r="R8" s="103">
        <v>0.0</v>
      </c>
      <c r="S8" s="104">
        <v>2.0</v>
      </c>
      <c r="T8" s="116"/>
      <c r="U8" s="117"/>
      <c r="V8" s="116"/>
      <c r="W8" s="117"/>
      <c r="X8" s="103">
        <v>2.0</v>
      </c>
      <c r="Y8" s="104">
        <v>0.0</v>
      </c>
      <c r="Z8" s="116"/>
      <c r="AA8" s="117"/>
      <c r="AB8" s="103">
        <v>2.0</v>
      </c>
      <c r="AC8" s="104">
        <v>0.0</v>
      </c>
      <c r="AD8" s="103">
        <v>0.0</v>
      </c>
      <c r="AE8" s="104">
        <v>2.0</v>
      </c>
      <c r="AF8" s="116"/>
      <c r="AG8" s="117"/>
      <c r="AH8" s="116"/>
      <c r="AI8" s="117"/>
      <c r="AJ8" s="118"/>
      <c r="AK8" s="118"/>
      <c r="AL8" s="116"/>
      <c r="AM8" s="118"/>
      <c r="AN8" s="103">
        <v>0.0</v>
      </c>
      <c r="AO8" s="104">
        <v>2.0</v>
      </c>
      <c r="AP8" s="106">
        <f t="shared" si="1"/>
        <v>8</v>
      </c>
    </row>
    <row r="9" ht="21.75" customHeight="1">
      <c r="A9" s="107" t="s">
        <v>29</v>
      </c>
      <c r="B9" s="103">
        <v>0.0</v>
      </c>
      <c r="C9" s="104">
        <v>0.0</v>
      </c>
      <c r="D9" s="103"/>
      <c r="E9" s="104"/>
      <c r="F9" s="103"/>
      <c r="G9" s="104"/>
      <c r="H9" s="103">
        <v>2.0</v>
      </c>
      <c r="I9" s="104">
        <v>0.0</v>
      </c>
      <c r="J9" s="103"/>
      <c r="K9" s="104"/>
      <c r="L9" s="103">
        <v>2.0</v>
      </c>
      <c r="M9" s="104">
        <v>0.0</v>
      </c>
      <c r="N9" s="103"/>
      <c r="O9" s="104"/>
      <c r="P9" s="103"/>
      <c r="Q9" s="104"/>
      <c r="R9" s="103">
        <v>2.0</v>
      </c>
      <c r="S9" s="104">
        <v>0.0</v>
      </c>
      <c r="T9" s="103"/>
      <c r="U9" s="104"/>
      <c r="V9" s="103"/>
      <c r="W9" s="104"/>
      <c r="X9" s="103"/>
      <c r="Y9" s="104"/>
      <c r="Z9" s="103"/>
      <c r="AA9" s="104"/>
      <c r="AB9" s="103"/>
      <c r="AC9" s="104"/>
      <c r="AD9" s="103"/>
      <c r="AE9" s="104"/>
      <c r="AF9" s="103"/>
      <c r="AG9" s="104"/>
      <c r="AH9" s="103"/>
      <c r="AI9" s="104"/>
      <c r="AJ9" s="105">
        <v>2.0</v>
      </c>
      <c r="AK9" s="105">
        <v>0.0</v>
      </c>
      <c r="AL9" s="103"/>
      <c r="AM9" s="105"/>
      <c r="AN9" s="103"/>
      <c r="AO9" s="104"/>
      <c r="AP9" s="106">
        <f t="shared" si="1"/>
        <v>8</v>
      </c>
    </row>
    <row r="10" ht="21.75" customHeight="1">
      <c r="A10" s="114" t="s">
        <v>48</v>
      </c>
      <c r="B10" s="108"/>
      <c r="C10" s="109"/>
      <c r="D10" s="108"/>
      <c r="E10" s="109"/>
      <c r="F10" s="110">
        <v>2.0</v>
      </c>
      <c r="G10" s="111">
        <v>0.0</v>
      </c>
      <c r="H10" s="108"/>
      <c r="I10" s="109"/>
      <c r="J10" s="110">
        <v>2.0</v>
      </c>
      <c r="K10" s="111">
        <v>1.0</v>
      </c>
      <c r="L10" s="108"/>
      <c r="M10" s="109"/>
      <c r="N10" s="110">
        <v>2.0</v>
      </c>
      <c r="O10" s="111">
        <v>0.0</v>
      </c>
      <c r="P10" s="108"/>
      <c r="Q10" s="109"/>
      <c r="R10" s="108"/>
      <c r="S10" s="109"/>
      <c r="T10" s="110">
        <v>0.0</v>
      </c>
      <c r="U10" s="111">
        <v>2.0</v>
      </c>
      <c r="V10" s="108"/>
      <c r="W10" s="109"/>
      <c r="X10" s="108"/>
      <c r="Y10" s="109"/>
      <c r="Z10" s="110">
        <v>0.0</v>
      </c>
      <c r="AA10" s="111">
        <v>2.0</v>
      </c>
      <c r="AB10" s="108"/>
      <c r="AC10" s="109"/>
      <c r="AD10" s="110">
        <v>0.0</v>
      </c>
      <c r="AE10" s="111">
        <v>0.0</v>
      </c>
      <c r="AF10" s="110">
        <v>2.0</v>
      </c>
      <c r="AG10" s="111">
        <v>0.0</v>
      </c>
      <c r="AH10" s="108"/>
      <c r="AI10" s="109"/>
      <c r="AJ10" s="113"/>
      <c r="AK10" s="113"/>
      <c r="AL10" s="110">
        <v>0.0</v>
      </c>
      <c r="AM10" s="112">
        <v>2.0</v>
      </c>
      <c r="AN10" s="108"/>
      <c r="AO10" s="109"/>
      <c r="AP10" s="106">
        <f t="shared" si="1"/>
        <v>8</v>
      </c>
    </row>
    <row r="11" ht="21.75" customHeight="1">
      <c r="A11" s="114" t="s">
        <v>44</v>
      </c>
      <c r="B11" s="116"/>
      <c r="C11" s="117"/>
      <c r="D11" s="116"/>
      <c r="E11" s="117"/>
      <c r="F11" s="116"/>
      <c r="G11" s="117"/>
      <c r="H11" s="103">
        <v>2.0</v>
      </c>
      <c r="I11" s="104">
        <v>1.0</v>
      </c>
      <c r="J11" s="116"/>
      <c r="K11" s="117"/>
      <c r="L11" s="103">
        <v>2.0</v>
      </c>
      <c r="M11" s="104">
        <v>0.0</v>
      </c>
      <c r="N11" s="116"/>
      <c r="O11" s="117"/>
      <c r="P11" s="116"/>
      <c r="Q11" s="117"/>
      <c r="R11" s="116"/>
      <c r="S11" s="117"/>
      <c r="T11" s="116"/>
      <c r="U11" s="117"/>
      <c r="V11" s="116"/>
      <c r="W11" s="117"/>
      <c r="X11" s="116"/>
      <c r="Y11" s="117"/>
      <c r="Z11" s="103">
        <v>0.0</v>
      </c>
      <c r="AA11" s="104">
        <v>0.0</v>
      </c>
      <c r="AB11" s="116"/>
      <c r="AC11" s="117"/>
      <c r="AD11" s="103">
        <v>2.0</v>
      </c>
      <c r="AE11" s="104">
        <v>0.0</v>
      </c>
      <c r="AF11" s="103">
        <v>2.0</v>
      </c>
      <c r="AG11" s="104">
        <v>0.0</v>
      </c>
      <c r="AH11" s="116"/>
      <c r="AI11" s="117"/>
      <c r="AJ11" s="118"/>
      <c r="AK11" s="118"/>
      <c r="AL11" s="116"/>
      <c r="AM11" s="118"/>
      <c r="AN11" s="116"/>
      <c r="AO11" s="117"/>
      <c r="AP11" s="119">
        <f t="shared" si="1"/>
        <v>8</v>
      </c>
      <c r="AQ11" s="118"/>
    </row>
    <row r="12" ht="21.75" customHeight="1">
      <c r="A12" s="107" t="s">
        <v>35</v>
      </c>
      <c r="B12" s="110">
        <v>0.0</v>
      </c>
      <c r="C12" s="111">
        <v>2.0</v>
      </c>
      <c r="D12" s="108"/>
      <c r="E12" s="109"/>
      <c r="F12" s="108"/>
      <c r="G12" s="109"/>
      <c r="H12" s="110">
        <v>0.0</v>
      </c>
      <c r="I12" s="111">
        <v>0.0</v>
      </c>
      <c r="J12" s="110">
        <v>2.0</v>
      </c>
      <c r="K12" s="111">
        <v>0.0</v>
      </c>
      <c r="L12" s="108"/>
      <c r="M12" s="109"/>
      <c r="N12" s="108"/>
      <c r="O12" s="109"/>
      <c r="P12" s="108"/>
      <c r="Q12" s="109"/>
      <c r="R12" s="108"/>
      <c r="S12" s="109"/>
      <c r="T12" s="110">
        <v>0.0</v>
      </c>
      <c r="U12" s="111">
        <v>2.0</v>
      </c>
      <c r="V12" s="108"/>
      <c r="W12" s="109"/>
      <c r="X12" s="108"/>
      <c r="Y12" s="109"/>
      <c r="Z12" s="110">
        <v>1.0</v>
      </c>
      <c r="AA12" s="111">
        <v>2.0</v>
      </c>
      <c r="AB12" s="110">
        <v>2.0</v>
      </c>
      <c r="AC12" s="111">
        <v>0.0</v>
      </c>
      <c r="AD12" s="108"/>
      <c r="AE12" s="109"/>
      <c r="AF12" s="108"/>
      <c r="AG12" s="109"/>
      <c r="AH12" s="110">
        <v>2.0</v>
      </c>
      <c r="AI12" s="111">
        <v>1.0</v>
      </c>
      <c r="AJ12" s="113"/>
      <c r="AK12" s="113"/>
      <c r="AL12" s="108"/>
      <c r="AM12" s="113"/>
      <c r="AN12" s="108"/>
      <c r="AO12" s="109"/>
      <c r="AP12" s="106">
        <f t="shared" si="1"/>
        <v>7</v>
      </c>
    </row>
    <row r="13" ht="21.75" customHeight="1">
      <c r="A13" s="114" t="s">
        <v>47</v>
      </c>
      <c r="B13" s="116"/>
      <c r="C13" s="117"/>
      <c r="D13" s="116"/>
      <c r="E13" s="117"/>
      <c r="F13" s="103">
        <v>2.0</v>
      </c>
      <c r="G13" s="104">
        <v>0.0</v>
      </c>
      <c r="H13" s="103">
        <v>0.0</v>
      </c>
      <c r="I13" s="104">
        <v>2.0</v>
      </c>
      <c r="J13" s="116"/>
      <c r="K13" s="117"/>
      <c r="L13" s="103">
        <v>2.0</v>
      </c>
      <c r="M13" s="104">
        <v>1.0</v>
      </c>
      <c r="N13" s="103">
        <v>0.0</v>
      </c>
      <c r="O13" s="104">
        <v>2.0</v>
      </c>
      <c r="P13" s="103">
        <v>0.0</v>
      </c>
      <c r="Q13" s="104">
        <v>2.0</v>
      </c>
      <c r="R13" s="116"/>
      <c r="S13" s="117"/>
      <c r="T13" s="116"/>
      <c r="U13" s="117"/>
      <c r="V13" s="103">
        <v>0.0</v>
      </c>
      <c r="W13" s="104">
        <v>2.0</v>
      </c>
      <c r="X13" s="103">
        <v>2.0</v>
      </c>
      <c r="Y13" s="104">
        <v>1.0</v>
      </c>
      <c r="Z13" s="116"/>
      <c r="AA13" s="117"/>
      <c r="AB13" s="103">
        <v>0.0</v>
      </c>
      <c r="AC13" s="104">
        <v>0.0</v>
      </c>
      <c r="AD13" s="116"/>
      <c r="AE13" s="117"/>
      <c r="AF13" s="116"/>
      <c r="AG13" s="117"/>
      <c r="AH13" s="116"/>
      <c r="AI13" s="117"/>
      <c r="AJ13" s="118"/>
      <c r="AK13" s="118"/>
      <c r="AL13" s="116"/>
      <c r="AM13" s="118"/>
      <c r="AN13" s="103">
        <v>0.0</v>
      </c>
      <c r="AO13" s="104">
        <v>2.0</v>
      </c>
      <c r="AP13" s="106">
        <f t="shared" si="1"/>
        <v>6</v>
      </c>
    </row>
    <row r="14" ht="21.75" customHeight="1">
      <c r="A14" s="114" t="s">
        <v>42</v>
      </c>
      <c r="B14" s="108"/>
      <c r="C14" s="111"/>
      <c r="D14" s="108"/>
      <c r="E14" s="111"/>
      <c r="F14" s="110">
        <v>2.0</v>
      </c>
      <c r="G14" s="111">
        <v>1.0</v>
      </c>
      <c r="H14" s="108"/>
      <c r="I14" s="111"/>
      <c r="J14" s="108"/>
      <c r="K14" s="111"/>
      <c r="L14" s="110">
        <v>2.0</v>
      </c>
      <c r="M14" s="111">
        <v>0.0</v>
      </c>
      <c r="N14" s="110">
        <v>0.0</v>
      </c>
      <c r="O14" s="111">
        <v>2.0</v>
      </c>
      <c r="P14" s="110">
        <v>1.0</v>
      </c>
      <c r="Q14" s="111">
        <v>2.0</v>
      </c>
      <c r="R14" s="108"/>
      <c r="S14" s="111"/>
      <c r="T14" s="108"/>
      <c r="U14" s="111"/>
      <c r="V14" s="108"/>
      <c r="W14" s="111"/>
      <c r="X14" s="110">
        <v>0.0</v>
      </c>
      <c r="Y14" s="111">
        <v>0.0</v>
      </c>
      <c r="Z14" s="108"/>
      <c r="AA14" s="111"/>
      <c r="AB14" s="110">
        <v>1.0</v>
      </c>
      <c r="AC14" s="111">
        <v>2.0</v>
      </c>
      <c r="AD14" s="108"/>
      <c r="AE14" s="111"/>
      <c r="AF14" s="108"/>
      <c r="AG14" s="111"/>
      <c r="AH14" s="108"/>
      <c r="AI14" s="111"/>
      <c r="AJ14" s="113"/>
      <c r="AK14" s="113"/>
      <c r="AL14" s="108"/>
      <c r="AM14" s="113"/>
      <c r="AN14" s="108"/>
      <c r="AO14" s="111"/>
      <c r="AP14" s="106">
        <f t="shared" si="1"/>
        <v>6</v>
      </c>
    </row>
    <row r="15" ht="21.75" customHeight="1">
      <c r="A15" s="107" t="s">
        <v>39</v>
      </c>
      <c r="B15" s="103">
        <v>0.0</v>
      </c>
      <c r="C15" s="104">
        <v>2.0</v>
      </c>
      <c r="D15" s="103">
        <v>0.0</v>
      </c>
      <c r="E15" s="104">
        <v>2.0</v>
      </c>
      <c r="F15" s="116"/>
      <c r="G15" s="117"/>
      <c r="H15" s="116"/>
      <c r="I15" s="117"/>
      <c r="J15" s="116"/>
      <c r="K15" s="117"/>
      <c r="L15" s="103">
        <v>2.0</v>
      </c>
      <c r="M15" s="104">
        <v>0.0</v>
      </c>
      <c r="N15" s="103">
        <v>2.0</v>
      </c>
      <c r="O15" s="104">
        <v>0.0</v>
      </c>
      <c r="P15" s="116"/>
      <c r="Q15" s="117"/>
      <c r="R15" s="103">
        <v>0.0</v>
      </c>
      <c r="S15" s="104">
        <v>0.0</v>
      </c>
      <c r="T15" s="103">
        <v>1.0</v>
      </c>
      <c r="U15" s="104">
        <v>2.0</v>
      </c>
      <c r="V15" s="116"/>
      <c r="W15" s="117"/>
      <c r="X15" s="116"/>
      <c r="Y15" s="117"/>
      <c r="Z15" s="116"/>
      <c r="AA15" s="117"/>
      <c r="AB15" s="116"/>
      <c r="AC15" s="117"/>
      <c r="AD15" s="116"/>
      <c r="AE15" s="117"/>
      <c r="AF15" s="116"/>
      <c r="AG15" s="117"/>
      <c r="AH15" s="116"/>
      <c r="AI15" s="117"/>
      <c r="AJ15" s="118"/>
      <c r="AK15" s="118"/>
      <c r="AL15" s="116"/>
      <c r="AM15" s="118"/>
      <c r="AN15" s="103">
        <v>0.0</v>
      </c>
      <c r="AO15" s="104">
        <v>2.0</v>
      </c>
      <c r="AP15" s="106">
        <f t="shared" si="1"/>
        <v>5</v>
      </c>
    </row>
    <row r="16" ht="21.75" customHeight="1">
      <c r="A16" s="114" t="s">
        <v>52</v>
      </c>
      <c r="B16" s="103">
        <v>0.0</v>
      </c>
      <c r="C16" s="104">
        <v>2.0</v>
      </c>
      <c r="D16" s="103">
        <v>0.0</v>
      </c>
      <c r="E16" s="104">
        <v>2.0</v>
      </c>
      <c r="F16" s="103">
        <v>2.0</v>
      </c>
      <c r="G16" s="104">
        <v>0.0</v>
      </c>
      <c r="H16" s="116"/>
      <c r="I16" s="117"/>
      <c r="J16" s="116"/>
      <c r="K16" s="117"/>
      <c r="L16" s="116"/>
      <c r="M16" s="117"/>
      <c r="N16" s="116"/>
      <c r="O16" s="117"/>
      <c r="P16" s="116"/>
      <c r="Q16" s="117"/>
      <c r="R16" s="116"/>
      <c r="S16" s="117"/>
      <c r="T16" s="103">
        <v>2.0</v>
      </c>
      <c r="U16" s="104">
        <v>0.0</v>
      </c>
      <c r="V16" s="116"/>
      <c r="W16" s="117"/>
      <c r="X16" s="116"/>
      <c r="Y16" s="117"/>
      <c r="Z16" s="103"/>
      <c r="AA16" s="104"/>
      <c r="AB16" s="116"/>
      <c r="AC16" s="117"/>
      <c r="AD16" s="116"/>
      <c r="AE16" s="117"/>
      <c r="AF16" s="116"/>
      <c r="AG16" s="117"/>
      <c r="AH16" s="116"/>
      <c r="AI16" s="117"/>
      <c r="AJ16" s="105">
        <v>0.0</v>
      </c>
      <c r="AK16" s="105">
        <v>0.0</v>
      </c>
      <c r="AL16" s="116"/>
      <c r="AM16" s="118"/>
      <c r="AN16" s="103">
        <v>0.0</v>
      </c>
      <c r="AO16" s="104">
        <v>2.0</v>
      </c>
      <c r="AP16" s="106">
        <f t="shared" si="1"/>
        <v>4</v>
      </c>
    </row>
    <row r="17" ht="21.75" customHeight="1">
      <c r="A17" s="115" t="s">
        <v>116</v>
      </c>
      <c r="B17" s="116"/>
      <c r="C17" s="117"/>
      <c r="D17" s="116"/>
      <c r="E17" s="117"/>
      <c r="F17" s="103">
        <v>2.0</v>
      </c>
      <c r="G17" s="104">
        <v>1.0</v>
      </c>
      <c r="H17" s="103">
        <v>0.0</v>
      </c>
      <c r="I17" s="104">
        <v>2.0</v>
      </c>
      <c r="J17" s="103">
        <v>0.0</v>
      </c>
      <c r="K17" s="104">
        <v>0.0</v>
      </c>
      <c r="L17" s="103">
        <v>0.0</v>
      </c>
      <c r="M17" s="104">
        <v>2.0</v>
      </c>
      <c r="N17" s="116"/>
      <c r="O17" s="117"/>
      <c r="P17" s="116"/>
      <c r="Q17" s="117"/>
      <c r="R17" s="116"/>
      <c r="S17" s="117"/>
      <c r="T17" s="103">
        <v>0.0</v>
      </c>
      <c r="U17" s="104">
        <v>2.0</v>
      </c>
      <c r="V17" s="116"/>
      <c r="W17" s="117"/>
      <c r="X17" s="116"/>
      <c r="Y17" s="117"/>
      <c r="Z17" s="116"/>
      <c r="AA17" s="117"/>
      <c r="AB17" s="116"/>
      <c r="AC17" s="117"/>
      <c r="AD17" s="103">
        <v>1.0</v>
      </c>
      <c r="AE17" s="104">
        <v>2.0</v>
      </c>
      <c r="AF17" s="116"/>
      <c r="AG17" s="117"/>
      <c r="AH17" s="116"/>
      <c r="AI17" s="117"/>
      <c r="AJ17" s="118"/>
      <c r="AK17" s="118"/>
      <c r="AL17" s="103">
        <v>0.0</v>
      </c>
      <c r="AM17" s="105">
        <v>2.0</v>
      </c>
      <c r="AN17" s="103">
        <v>0.0</v>
      </c>
      <c r="AO17" s="104">
        <v>2.0</v>
      </c>
      <c r="AP17" s="106">
        <f t="shared" si="1"/>
        <v>3</v>
      </c>
    </row>
    <row r="18" ht="21.75" customHeight="1">
      <c r="A18" s="114" t="s">
        <v>12</v>
      </c>
      <c r="B18" s="116"/>
      <c r="C18" s="117"/>
      <c r="D18" s="116"/>
      <c r="E18" s="117"/>
      <c r="F18" s="116"/>
      <c r="G18" s="117"/>
      <c r="H18" s="116"/>
      <c r="I18" s="117"/>
      <c r="J18" s="116"/>
      <c r="K18" s="117"/>
      <c r="L18" s="116"/>
      <c r="M18" s="117"/>
      <c r="N18" s="116"/>
      <c r="O18" s="117"/>
      <c r="P18" s="116"/>
      <c r="Q18" s="117"/>
      <c r="R18" s="116"/>
      <c r="S18" s="117"/>
      <c r="T18" s="116"/>
      <c r="U18" s="117"/>
      <c r="V18" s="103">
        <v>0.0</v>
      </c>
      <c r="W18" s="104">
        <v>0.0</v>
      </c>
      <c r="X18" s="116"/>
      <c r="Y18" s="117"/>
      <c r="Z18" s="116"/>
      <c r="AA18" s="117"/>
      <c r="AB18" s="103">
        <v>2.0</v>
      </c>
      <c r="AC18" s="104">
        <v>0.0</v>
      </c>
      <c r="AD18" s="116"/>
      <c r="AE18" s="117"/>
      <c r="AF18" s="116"/>
      <c r="AG18" s="117"/>
      <c r="AH18" s="116"/>
      <c r="AI18" s="117"/>
      <c r="AJ18" s="118"/>
      <c r="AK18" s="118"/>
      <c r="AL18" s="116"/>
      <c r="AM18" s="118"/>
      <c r="AN18" s="116"/>
      <c r="AO18" s="117"/>
      <c r="AP18" s="106">
        <f t="shared" si="1"/>
        <v>2</v>
      </c>
    </row>
    <row r="19" ht="21.75" customHeight="1">
      <c r="A19" s="114" t="s">
        <v>34</v>
      </c>
      <c r="B19" s="116"/>
      <c r="C19" s="117"/>
      <c r="D19" s="116"/>
      <c r="E19" s="117"/>
      <c r="F19" s="103">
        <v>0.0</v>
      </c>
      <c r="G19" s="104">
        <v>0.0</v>
      </c>
      <c r="H19" s="116"/>
      <c r="I19" s="117"/>
      <c r="J19" s="103">
        <v>1.0</v>
      </c>
      <c r="K19" s="104">
        <v>2.0</v>
      </c>
      <c r="L19" s="103">
        <v>0.0</v>
      </c>
      <c r="M19" s="104">
        <v>2.0</v>
      </c>
      <c r="N19" s="116"/>
      <c r="O19" s="117"/>
      <c r="P19" s="116"/>
      <c r="Q19" s="117"/>
      <c r="R19" s="116"/>
      <c r="S19" s="117"/>
      <c r="T19" s="116"/>
      <c r="U19" s="117"/>
      <c r="V19" s="116"/>
      <c r="W19" s="117"/>
      <c r="X19" s="103">
        <v>1.0</v>
      </c>
      <c r="Y19" s="104">
        <v>2.0</v>
      </c>
      <c r="Z19" s="116"/>
      <c r="AA19" s="117"/>
      <c r="AB19" s="103">
        <v>0.0</v>
      </c>
      <c r="AC19" s="104">
        <v>2.0</v>
      </c>
      <c r="AD19" s="103">
        <v>0.0</v>
      </c>
      <c r="AE19" s="104">
        <v>2.0</v>
      </c>
      <c r="AF19" s="116"/>
      <c r="AG19" s="117"/>
      <c r="AH19" s="116"/>
      <c r="AI19" s="117"/>
      <c r="AJ19" s="105">
        <v>0.0</v>
      </c>
      <c r="AK19" s="105">
        <v>2.0</v>
      </c>
      <c r="AL19" s="103">
        <v>0.0</v>
      </c>
      <c r="AM19" s="105">
        <v>2.0</v>
      </c>
      <c r="AN19" s="116"/>
      <c r="AO19" s="117"/>
      <c r="AP19" s="106">
        <f t="shared" si="1"/>
        <v>2</v>
      </c>
    </row>
    <row r="20" ht="21.75" customHeight="1">
      <c r="A20" s="100" t="s">
        <v>50</v>
      </c>
      <c r="B20" s="120"/>
      <c r="C20" s="121"/>
      <c r="D20" s="120"/>
      <c r="E20" s="121"/>
      <c r="F20" s="120"/>
      <c r="G20" s="121"/>
      <c r="H20" s="110">
        <v>1.0</v>
      </c>
      <c r="I20" s="111">
        <v>2.0</v>
      </c>
      <c r="J20" s="120"/>
      <c r="K20" s="121"/>
      <c r="L20" s="120"/>
      <c r="M20" s="121"/>
      <c r="N20" s="120"/>
      <c r="O20" s="121"/>
      <c r="P20" s="120"/>
      <c r="Q20" s="121"/>
      <c r="R20" s="120"/>
      <c r="S20" s="121"/>
      <c r="T20" s="120"/>
      <c r="U20" s="121"/>
      <c r="V20" s="120"/>
      <c r="W20" s="121"/>
      <c r="X20" s="120"/>
      <c r="Y20" s="121"/>
      <c r="Z20" s="120"/>
      <c r="AA20" s="121"/>
      <c r="AB20" s="120"/>
      <c r="AC20" s="121"/>
      <c r="AD20" s="120"/>
      <c r="AE20" s="121"/>
      <c r="AF20" s="120"/>
      <c r="AG20" s="121"/>
      <c r="AH20" s="110">
        <v>0.0</v>
      </c>
      <c r="AI20" s="111">
        <v>0.0</v>
      </c>
      <c r="AJ20" s="122"/>
      <c r="AK20" s="122"/>
      <c r="AL20" s="120"/>
      <c r="AM20" s="122"/>
      <c r="AN20" s="110">
        <v>0.0</v>
      </c>
      <c r="AO20" s="111">
        <v>2.0</v>
      </c>
      <c r="AP20" s="106">
        <f t="shared" si="1"/>
        <v>1</v>
      </c>
    </row>
    <row r="21" ht="21.75" customHeight="1">
      <c r="A21" s="123" t="s">
        <v>49</v>
      </c>
      <c r="B21" s="124"/>
      <c r="C21" s="125"/>
      <c r="D21" s="124"/>
      <c r="E21" s="125"/>
      <c r="F21" s="124"/>
      <c r="G21" s="125"/>
      <c r="H21" s="124"/>
      <c r="I21" s="125"/>
      <c r="J21" s="124"/>
      <c r="K21" s="125"/>
      <c r="L21" s="126">
        <v>0.0</v>
      </c>
      <c r="M21" s="127">
        <v>2.0</v>
      </c>
      <c r="N21" s="124"/>
      <c r="O21" s="125"/>
      <c r="P21" s="124"/>
      <c r="Q21" s="125"/>
      <c r="R21" s="124"/>
      <c r="S21" s="125"/>
      <c r="T21" s="126">
        <v>0.0</v>
      </c>
      <c r="U21" s="127">
        <v>2.0</v>
      </c>
      <c r="V21" s="124"/>
      <c r="W21" s="125"/>
      <c r="X21" s="124"/>
      <c r="Y21" s="125"/>
      <c r="Z21" s="126">
        <v>0.0</v>
      </c>
      <c r="AA21" s="127">
        <v>2.0</v>
      </c>
      <c r="AB21" s="124"/>
      <c r="AC21" s="125"/>
      <c r="AD21" s="126">
        <v>0.0</v>
      </c>
      <c r="AE21" s="127">
        <v>2.0</v>
      </c>
      <c r="AF21" s="126">
        <v>0.0</v>
      </c>
      <c r="AG21" s="127">
        <v>0.0</v>
      </c>
      <c r="AH21" s="124"/>
      <c r="AI21" s="125"/>
      <c r="AJ21" s="128"/>
      <c r="AK21" s="128"/>
      <c r="AL21" s="124"/>
      <c r="AM21" s="128"/>
      <c r="AN21" s="124"/>
      <c r="AO21" s="125"/>
      <c r="AP21" s="129">
        <f t="shared" si="1"/>
        <v>0</v>
      </c>
      <c r="AQ21" s="130"/>
    </row>
  </sheetData>
  <mergeCells count="20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I1"/>
    <mergeCell ref="AJ1:AK1"/>
    <mergeCell ref="AL1:AM1"/>
    <mergeCell ref="AN1:AO1"/>
    <mergeCell ref="P1:Q1"/>
    <mergeCell ref="R1:S1"/>
    <mergeCell ref="T1:U1"/>
    <mergeCell ref="V1:W1"/>
    <mergeCell ref="X1:Y1"/>
    <mergeCell ref="Z1:AA1"/>
    <mergeCell ref="AB1:AC1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19" width="7.63"/>
    <col customWidth="1" min="20" max="20" width="13.88"/>
    <col customWidth="1" min="21" max="21" width="6.38"/>
  </cols>
  <sheetData>
    <row r="1" ht="21.75" customHeight="1">
      <c r="A1" s="97" t="s">
        <v>0</v>
      </c>
      <c r="B1" s="131" t="s">
        <v>117</v>
      </c>
      <c r="C1" s="132"/>
      <c r="D1" s="133" t="s">
        <v>118</v>
      </c>
      <c r="E1" s="134"/>
      <c r="F1" s="131" t="s">
        <v>119</v>
      </c>
      <c r="G1" s="132"/>
      <c r="H1" s="133" t="s">
        <v>120</v>
      </c>
      <c r="I1" s="134"/>
      <c r="J1" s="131" t="s">
        <v>121</v>
      </c>
      <c r="K1" s="132"/>
      <c r="L1" s="133" t="s">
        <v>122</v>
      </c>
      <c r="M1" s="134"/>
      <c r="N1" s="131" t="s">
        <v>123</v>
      </c>
      <c r="O1" s="132"/>
      <c r="P1" s="133" t="s">
        <v>124</v>
      </c>
      <c r="Q1" s="134"/>
      <c r="R1" s="135" t="s">
        <v>125</v>
      </c>
      <c r="S1" s="136"/>
      <c r="T1" s="99" t="s">
        <v>114</v>
      </c>
      <c r="U1" s="62" t="s">
        <v>115</v>
      </c>
    </row>
    <row r="2" ht="21.75" customHeight="1">
      <c r="A2" s="100" t="s">
        <v>117</v>
      </c>
      <c r="B2" s="110">
        <v>0.0</v>
      </c>
      <c r="C2" s="111">
        <v>0.0</v>
      </c>
      <c r="D2" s="110">
        <v>2.0</v>
      </c>
      <c r="E2" s="111">
        <v>0.0</v>
      </c>
      <c r="F2" s="108"/>
      <c r="G2" s="109"/>
      <c r="H2" s="110">
        <v>2.0</v>
      </c>
      <c r="I2" s="111">
        <v>0.0</v>
      </c>
      <c r="J2" s="110">
        <v>2.0</v>
      </c>
      <c r="K2" s="111">
        <v>0.0</v>
      </c>
      <c r="L2" s="108"/>
      <c r="M2" s="109"/>
      <c r="N2" s="108"/>
      <c r="O2" s="109"/>
      <c r="P2" s="108"/>
      <c r="Q2" s="109"/>
      <c r="R2" s="108"/>
      <c r="S2" s="109"/>
      <c r="T2" s="106">
        <f t="shared" ref="T2:T10" si="1">sum(B2,D2,F2,H2,J2,L2,N2,P2,R2)</f>
        <v>6</v>
      </c>
    </row>
    <row r="3" ht="21.75" customHeight="1">
      <c r="A3" s="115" t="s">
        <v>121</v>
      </c>
      <c r="B3" s="103">
        <v>0.0</v>
      </c>
      <c r="C3" s="104">
        <v>2.0</v>
      </c>
      <c r="D3" s="103">
        <v>2.0</v>
      </c>
      <c r="E3" s="104">
        <v>0.0</v>
      </c>
      <c r="F3" s="116"/>
      <c r="G3" s="117"/>
      <c r="H3" s="103">
        <v>2.0</v>
      </c>
      <c r="I3" s="104">
        <v>0.0</v>
      </c>
      <c r="J3" s="103">
        <v>0.0</v>
      </c>
      <c r="K3" s="104">
        <v>0.0</v>
      </c>
      <c r="L3" s="103">
        <v>0.0</v>
      </c>
      <c r="M3" s="104">
        <v>2.0</v>
      </c>
      <c r="N3" s="116"/>
      <c r="O3" s="117"/>
      <c r="P3" s="116"/>
      <c r="Q3" s="117"/>
      <c r="R3" s="116"/>
      <c r="S3" s="117"/>
      <c r="T3" s="106">
        <f t="shared" si="1"/>
        <v>4</v>
      </c>
    </row>
    <row r="4" ht="21.75" customHeight="1">
      <c r="A4" s="100" t="s">
        <v>118</v>
      </c>
      <c r="B4" s="103">
        <v>0.0</v>
      </c>
      <c r="C4" s="104">
        <v>2.0</v>
      </c>
      <c r="D4" s="103">
        <v>0.0</v>
      </c>
      <c r="E4" s="104">
        <v>0.0</v>
      </c>
      <c r="F4" s="116"/>
      <c r="G4" s="117"/>
      <c r="H4" s="103">
        <v>2.0</v>
      </c>
      <c r="I4" s="104">
        <v>0.0</v>
      </c>
      <c r="J4" s="103">
        <v>0.0</v>
      </c>
      <c r="K4" s="104">
        <v>2.0</v>
      </c>
      <c r="L4" s="116"/>
      <c r="M4" s="117"/>
      <c r="N4" s="103">
        <v>0.0</v>
      </c>
      <c r="O4" s="104">
        <v>2.0</v>
      </c>
      <c r="P4" s="116"/>
      <c r="Q4" s="117"/>
      <c r="R4" s="116"/>
      <c r="S4" s="117"/>
      <c r="T4" s="106">
        <f t="shared" si="1"/>
        <v>2</v>
      </c>
    </row>
    <row r="5" ht="21.75" customHeight="1">
      <c r="A5" s="115" t="s">
        <v>122</v>
      </c>
      <c r="B5" s="116"/>
      <c r="C5" s="117"/>
      <c r="D5" s="116"/>
      <c r="E5" s="117"/>
      <c r="F5" s="116"/>
      <c r="G5" s="117"/>
      <c r="H5" s="116"/>
      <c r="I5" s="117"/>
      <c r="J5" s="103">
        <v>2.0</v>
      </c>
      <c r="K5" s="104">
        <v>0.0</v>
      </c>
      <c r="L5" s="103">
        <v>0.0</v>
      </c>
      <c r="M5" s="104">
        <v>0.0</v>
      </c>
      <c r="N5" s="103">
        <v>2.0</v>
      </c>
      <c r="O5" s="104">
        <v>1.0</v>
      </c>
      <c r="P5" s="116"/>
      <c r="Q5" s="117"/>
      <c r="R5" s="116"/>
      <c r="S5" s="117"/>
      <c r="T5" s="106">
        <f t="shared" si="1"/>
        <v>4</v>
      </c>
    </row>
    <row r="6" ht="21.75" customHeight="1">
      <c r="A6" s="100" t="s">
        <v>125</v>
      </c>
      <c r="B6" s="108"/>
      <c r="C6" s="109"/>
      <c r="D6" s="108"/>
      <c r="E6" s="109"/>
      <c r="F6" s="108"/>
      <c r="G6" s="109"/>
      <c r="H6" s="110">
        <v>2.0</v>
      </c>
      <c r="I6" s="111">
        <v>0.0</v>
      </c>
      <c r="J6" s="108"/>
      <c r="K6" s="109"/>
      <c r="L6" s="108"/>
      <c r="M6" s="109"/>
      <c r="N6" s="108"/>
      <c r="O6" s="109"/>
      <c r="P6" s="108"/>
      <c r="Q6" s="109"/>
      <c r="R6" s="110">
        <v>0.0</v>
      </c>
      <c r="S6" s="111">
        <v>0.0</v>
      </c>
      <c r="T6" s="106">
        <f t="shared" si="1"/>
        <v>2</v>
      </c>
    </row>
    <row r="7" ht="21.75" customHeight="1">
      <c r="A7" s="115" t="s">
        <v>123</v>
      </c>
      <c r="B7" s="108"/>
      <c r="C7" s="109"/>
      <c r="D7" s="110">
        <v>2.0</v>
      </c>
      <c r="E7" s="111">
        <v>0.0</v>
      </c>
      <c r="F7" s="108"/>
      <c r="G7" s="109"/>
      <c r="H7" s="108"/>
      <c r="I7" s="109"/>
      <c r="J7" s="108"/>
      <c r="K7" s="109"/>
      <c r="L7" s="110">
        <v>1.0</v>
      </c>
      <c r="M7" s="111">
        <v>2.0</v>
      </c>
      <c r="N7" s="110">
        <v>0.0</v>
      </c>
      <c r="O7" s="111">
        <v>0.0</v>
      </c>
      <c r="P7" s="110"/>
      <c r="Q7" s="111"/>
      <c r="R7" s="108"/>
      <c r="S7" s="109"/>
      <c r="T7" s="106">
        <f t="shared" si="1"/>
        <v>3</v>
      </c>
    </row>
    <row r="8" ht="21.75" customHeight="1">
      <c r="A8" s="100" t="s">
        <v>119</v>
      </c>
      <c r="B8" s="116"/>
      <c r="C8" s="117"/>
      <c r="D8" s="116"/>
      <c r="E8" s="117"/>
      <c r="F8" s="103">
        <v>0.0</v>
      </c>
      <c r="G8" s="104">
        <v>0.0</v>
      </c>
      <c r="H8" s="103">
        <v>2.0</v>
      </c>
      <c r="I8" s="104">
        <v>0.0</v>
      </c>
      <c r="J8" s="116"/>
      <c r="K8" s="117"/>
      <c r="L8" s="116"/>
      <c r="M8" s="117"/>
      <c r="N8" s="116"/>
      <c r="O8" s="117"/>
      <c r="P8" s="116"/>
      <c r="Q8" s="117"/>
      <c r="R8" s="116"/>
      <c r="S8" s="117"/>
      <c r="T8" s="106">
        <f t="shared" si="1"/>
        <v>2</v>
      </c>
    </row>
    <row r="9" ht="21.75" customHeight="1">
      <c r="A9" s="115" t="s">
        <v>120</v>
      </c>
      <c r="B9" s="103">
        <v>0.0</v>
      </c>
      <c r="C9" s="104">
        <v>2.0</v>
      </c>
      <c r="D9" s="103">
        <v>0.0</v>
      </c>
      <c r="E9" s="104">
        <v>2.0</v>
      </c>
      <c r="F9" s="103">
        <v>0.0</v>
      </c>
      <c r="G9" s="104">
        <v>2.0</v>
      </c>
      <c r="H9" s="103">
        <v>0.0</v>
      </c>
      <c r="I9" s="104">
        <v>0.0</v>
      </c>
      <c r="J9" s="103">
        <v>0.0</v>
      </c>
      <c r="K9" s="104">
        <v>2.0</v>
      </c>
      <c r="L9" s="101"/>
      <c r="M9" s="102"/>
      <c r="N9" s="101"/>
      <c r="O9" s="102"/>
      <c r="P9" s="101"/>
      <c r="Q9" s="102"/>
      <c r="R9" s="103">
        <v>0.0</v>
      </c>
      <c r="S9" s="104">
        <v>2.0</v>
      </c>
      <c r="T9" s="106">
        <f t="shared" si="1"/>
        <v>0</v>
      </c>
    </row>
    <row r="10" ht="21.75" customHeight="1">
      <c r="A10" s="137" t="s">
        <v>124</v>
      </c>
      <c r="B10" s="124"/>
      <c r="C10" s="125"/>
      <c r="D10" s="124"/>
      <c r="E10" s="125"/>
      <c r="F10" s="124"/>
      <c r="G10" s="125"/>
      <c r="H10" s="124"/>
      <c r="I10" s="125"/>
      <c r="J10" s="124"/>
      <c r="K10" s="125"/>
      <c r="L10" s="124"/>
      <c r="M10" s="125"/>
      <c r="N10" s="124"/>
      <c r="O10" s="125"/>
      <c r="P10" s="126">
        <v>0.0</v>
      </c>
      <c r="Q10" s="127">
        <v>0.0</v>
      </c>
      <c r="R10" s="126"/>
      <c r="S10" s="127"/>
      <c r="T10" s="138">
        <f t="shared" si="1"/>
        <v>0</v>
      </c>
    </row>
  </sheetData>
  <mergeCells count="9">
    <mergeCell ref="P1:Q1"/>
    <mergeCell ref="R1:S1"/>
    <mergeCell ref="B1:C1"/>
    <mergeCell ref="D1:E1"/>
    <mergeCell ref="F1:G1"/>
    <mergeCell ref="H1:I1"/>
    <mergeCell ref="J1:K1"/>
    <mergeCell ref="L1:M1"/>
    <mergeCell ref="N1:O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15" width="7.63"/>
    <col customWidth="1" min="16" max="16" width="13.88"/>
    <col customWidth="1" min="17" max="17" width="6.38"/>
  </cols>
  <sheetData>
    <row r="1" ht="21.75" customHeight="1">
      <c r="A1" s="97" t="s">
        <v>0</v>
      </c>
      <c r="B1" s="131" t="s">
        <v>126</v>
      </c>
      <c r="C1" s="132"/>
      <c r="D1" s="133" t="s">
        <v>127</v>
      </c>
      <c r="E1" s="134"/>
      <c r="F1" s="131" t="s">
        <v>128</v>
      </c>
      <c r="G1" s="132"/>
      <c r="H1" s="131" t="s">
        <v>129</v>
      </c>
      <c r="I1" s="132"/>
      <c r="J1" s="131" t="s">
        <v>130</v>
      </c>
      <c r="K1" s="132"/>
      <c r="L1" s="131" t="s">
        <v>131</v>
      </c>
      <c r="M1" s="132"/>
      <c r="N1" s="131" t="s">
        <v>132</v>
      </c>
      <c r="O1" s="132"/>
      <c r="P1" s="99" t="s">
        <v>114</v>
      </c>
      <c r="Q1" s="62" t="s">
        <v>115</v>
      </c>
    </row>
    <row r="2" ht="21.75" customHeight="1">
      <c r="A2" s="100" t="s">
        <v>126</v>
      </c>
      <c r="B2" s="110">
        <v>0.0</v>
      </c>
      <c r="C2" s="111">
        <v>0.0</v>
      </c>
      <c r="D2" s="110">
        <v>2.0</v>
      </c>
      <c r="E2" s="111">
        <v>0.0</v>
      </c>
      <c r="F2" s="110">
        <v>2.0</v>
      </c>
      <c r="G2" s="111">
        <v>0.0</v>
      </c>
      <c r="H2" s="112">
        <v>2.0</v>
      </c>
      <c r="I2" s="112">
        <v>0.0</v>
      </c>
      <c r="J2" s="110">
        <v>0.0</v>
      </c>
      <c r="K2" s="112">
        <v>2.0</v>
      </c>
      <c r="L2" s="110">
        <v>2.0</v>
      </c>
      <c r="M2" s="112">
        <v>0.0</v>
      </c>
      <c r="N2" s="108"/>
      <c r="O2" s="109"/>
      <c r="P2" s="106">
        <f t="shared" ref="P2:P8" si="1">sum(B2,D2,F2,N2,H2,J2,L2)</f>
        <v>8</v>
      </c>
    </row>
    <row r="3" ht="21.75" customHeight="1">
      <c r="A3" s="115" t="s">
        <v>130</v>
      </c>
      <c r="B3" s="110">
        <v>2.0</v>
      </c>
      <c r="C3" s="111">
        <v>0.0</v>
      </c>
      <c r="D3" s="108"/>
      <c r="E3" s="109"/>
      <c r="F3" s="108"/>
      <c r="G3" s="109"/>
      <c r="H3" s="112">
        <v>2.0</v>
      </c>
      <c r="I3" s="112">
        <v>0.0</v>
      </c>
      <c r="J3" s="103">
        <v>0.0</v>
      </c>
      <c r="K3" s="105">
        <v>0.0</v>
      </c>
      <c r="L3" s="110"/>
      <c r="M3" s="112"/>
      <c r="N3" s="110">
        <v>2.0</v>
      </c>
      <c r="O3" s="111">
        <v>0.0</v>
      </c>
      <c r="P3" s="106">
        <f t="shared" si="1"/>
        <v>6</v>
      </c>
    </row>
    <row r="4" ht="21.75" customHeight="1">
      <c r="A4" s="100" t="s">
        <v>128</v>
      </c>
      <c r="B4" s="103">
        <v>0.0</v>
      </c>
      <c r="C4" s="104">
        <v>2.0</v>
      </c>
      <c r="D4" s="103">
        <v>2.0</v>
      </c>
      <c r="E4" s="104">
        <v>1.0</v>
      </c>
      <c r="F4" s="103">
        <v>0.0</v>
      </c>
      <c r="G4" s="104">
        <v>0.0</v>
      </c>
      <c r="H4" s="118"/>
      <c r="I4" s="118"/>
      <c r="J4" s="116"/>
      <c r="K4" s="118"/>
      <c r="L4" s="116"/>
      <c r="M4" s="118"/>
      <c r="N4" s="116"/>
      <c r="O4" s="117"/>
      <c r="P4" s="106">
        <f t="shared" si="1"/>
        <v>2</v>
      </c>
    </row>
    <row r="5" ht="21.75" customHeight="1">
      <c r="A5" s="100" t="s">
        <v>129</v>
      </c>
      <c r="B5" s="110">
        <v>0.0</v>
      </c>
      <c r="C5" s="111">
        <v>2.0</v>
      </c>
      <c r="D5" s="108"/>
      <c r="E5" s="109"/>
      <c r="F5" s="108"/>
      <c r="G5" s="109"/>
      <c r="H5" s="103">
        <v>0.0</v>
      </c>
      <c r="I5" s="104">
        <v>0.0</v>
      </c>
      <c r="J5" s="110">
        <v>0.0</v>
      </c>
      <c r="K5" s="112">
        <v>2.0</v>
      </c>
      <c r="L5" s="110">
        <v>0.0</v>
      </c>
      <c r="M5" s="112">
        <v>2.0</v>
      </c>
      <c r="N5" s="110">
        <v>2.0</v>
      </c>
      <c r="O5" s="111">
        <v>0.0</v>
      </c>
      <c r="P5" s="106">
        <f t="shared" si="1"/>
        <v>2</v>
      </c>
    </row>
    <row r="6" ht="21.75" customHeight="1">
      <c r="A6" s="100" t="s">
        <v>131</v>
      </c>
      <c r="B6" s="110">
        <v>0.0</v>
      </c>
      <c r="C6" s="111">
        <v>2.0</v>
      </c>
      <c r="D6" s="108"/>
      <c r="E6" s="109"/>
      <c r="F6" s="108"/>
      <c r="G6" s="109"/>
      <c r="H6" s="112">
        <v>2.0</v>
      </c>
      <c r="I6" s="112">
        <v>0.0</v>
      </c>
      <c r="J6" s="110"/>
      <c r="K6" s="111"/>
      <c r="L6" s="103">
        <v>0.0</v>
      </c>
      <c r="M6" s="105">
        <v>0.0</v>
      </c>
      <c r="N6" s="110"/>
      <c r="O6" s="111"/>
      <c r="P6" s="106">
        <f t="shared" si="1"/>
        <v>2</v>
      </c>
    </row>
    <row r="7" ht="21.75" customHeight="1">
      <c r="A7" s="100" t="s">
        <v>127</v>
      </c>
      <c r="B7" s="103">
        <v>0.0</v>
      </c>
      <c r="C7" s="104">
        <v>2.0</v>
      </c>
      <c r="D7" s="103">
        <v>0.0</v>
      </c>
      <c r="E7" s="104">
        <v>0.0</v>
      </c>
      <c r="F7" s="103">
        <v>1.0</v>
      </c>
      <c r="G7" s="104">
        <v>2.0</v>
      </c>
      <c r="H7" s="118"/>
      <c r="I7" s="118"/>
      <c r="J7" s="116"/>
      <c r="K7" s="118"/>
      <c r="L7" s="116"/>
      <c r="M7" s="117"/>
      <c r="N7" s="116"/>
      <c r="O7" s="117"/>
      <c r="P7" s="106">
        <f t="shared" si="1"/>
        <v>1</v>
      </c>
    </row>
    <row r="8" ht="21.75" customHeight="1">
      <c r="A8" s="100" t="s">
        <v>132</v>
      </c>
      <c r="B8" s="139"/>
      <c r="C8" s="140"/>
      <c r="D8" s="139"/>
      <c r="E8" s="140"/>
      <c r="F8" s="139"/>
      <c r="G8" s="140"/>
      <c r="H8" s="141">
        <v>0.0</v>
      </c>
      <c r="I8" s="141">
        <v>2.0</v>
      </c>
      <c r="J8" s="142">
        <v>0.0</v>
      </c>
      <c r="K8" s="141">
        <v>2.0</v>
      </c>
      <c r="L8" s="142"/>
      <c r="M8" s="141"/>
      <c r="N8" s="142">
        <v>0.0</v>
      </c>
      <c r="O8" s="143">
        <v>0.0</v>
      </c>
      <c r="P8" s="138">
        <f t="shared" si="1"/>
        <v>0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13" width="7.63"/>
    <col customWidth="1" min="14" max="14" width="13.88"/>
    <col customWidth="1" min="15" max="15" width="6.38"/>
  </cols>
  <sheetData>
    <row r="1" ht="21.75" customHeight="1">
      <c r="A1" s="97" t="s">
        <v>0</v>
      </c>
      <c r="B1" s="131" t="s">
        <v>133</v>
      </c>
      <c r="C1" s="132"/>
      <c r="D1" s="133" t="s">
        <v>134</v>
      </c>
      <c r="E1" s="134"/>
      <c r="F1" s="144" t="s">
        <v>135</v>
      </c>
      <c r="H1" s="131" t="s">
        <v>136</v>
      </c>
      <c r="I1" s="132"/>
      <c r="J1" s="131" t="s">
        <v>137</v>
      </c>
      <c r="K1" s="132"/>
      <c r="L1" s="131" t="s">
        <v>138</v>
      </c>
      <c r="M1" s="132"/>
      <c r="N1" s="99" t="s">
        <v>114</v>
      </c>
      <c r="O1" s="62" t="s">
        <v>115</v>
      </c>
    </row>
    <row r="2" ht="21.75" customHeight="1">
      <c r="A2" s="100" t="s">
        <v>134</v>
      </c>
      <c r="B2" s="116"/>
      <c r="C2" s="117"/>
      <c r="D2" s="103">
        <v>0.0</v>
      </c>
      <c r="E2" s="104">
        <v>0.0</v>
      </c>
      <c r="F2" s="118"/>
      <c r="G2" s="118"/>
      <c r="H2" s="103">
        <v>2.0</v>
      </c>
      <c r="I2" s="104">
        <v>0.0</v>
      </c>
      <c r="J2" s="118"/>
      <c r="K2" s="118"/>
      <c r="L2" s="116"/>
      <c r="M2" s="117"/>
      <c r="N2" s="106">
        <f t="shared" ref="N2:N7" si="1">sum(B2,D2,H2,L2,F2,J2)</f>
        <v>2</v>
      </c>
    </row>
    <row r="3" ht="21.75" customHeight="1">
      <c r="A3" s="115" t="s">
        <v>133</v>
      </c>
      <c r="B3" s="110">
        <v>0.0</v>
      </c>
      <c r="C3" s="111">
        <v>0.0</v>
      </c>
      <c r="D3" s="108"/>
      <c r="E3" s="109"/>
      <c r="F3" s="113"/>
      <c r="G3" s="113"/>
      <c r="H3" s="108"/>
      <c r="I3" s="109"/>
      <c r="J3" s="113"/>
      <c r="K3" s="113"/>
      <c r="L3" s="108"/>
      <c r="M3" s="109"/>
      <c r="N3" s="106">
        <f t="shared" si="1"/>
        <v>0</v>
      </c>
    </row>
    <row r="4" ht="21.75" customHeight="1">
      <c r="A4" s="145" t="s">
        <v>135</v>
      </c>
      <c r="B4" s="116"/>
      <c r="C4" s="117"/>
      <c r="D4" s="116"/>
      <c r="E4" s="117"/>
      <c r="F4" s="105">
        <v>0.0</v>
      </c>
      <c r="G4" s="105">
        <v>0.0</v>
      </c>
      <c r="H4" s="103"/>
      <c r="I4" s="104"/>
      <c r="J4" s="118"/>
      <c r="K4" s="118"/>
      <c r="L4" s="116"/>
      <c r="M4" s="117"/>
      <c r="N4" s="106">
        <f t="shared" si="1"/>
        <v>0</v>
      </c>
    </row>
    <row r="5" ht="21.75" customHeight="1">
      <c r="A5" s="100" t="s">
        <v>136</v>
      </c>
      <c r="B5" s="116"/>
      <c r="C5" s="117"/>
      <c r="D5" s="103">
        <v>0.0</v>
      </c>
      <c r="E5" s="104">
        <v>2.0</v>
      </c>
      <c r="F5" s="105"/>
      <c r="G5" s="105"/>
      <c r="H5" s="103">
        <v>0.0</v>
      </c>
      <c r="I5" s="104">
        <v>0.0</v>
      </c>
      <c r="J5" s="118"/>
      <c r="K5" s="118"/>
      <c r="L5" s="116"/>
      <c r="M5" s="117"/>
      <c r="N5" s="106">
        <f t="shared" si="1"/>
        <v>0</v>
      </c>
    </row>
    <row r="6" ht="21.75" customHeight="1">
      <c r="A6" s="100" t="s">
        <v>137</v>
      </c>
      <c r="B6" s="108"/>
      <c r="C6" s="109"/>
      <c r="D6" s="108"/>
      <c r="E6" s="109"/>
      <c r="F6" s="113"/>
      <c r="G6" s="113"/>
      <c r="H6" s="108"/>
      <c r="I6" s="109"/>
      <c r="J6" s="112">
        <v>0.0</v>
      </c>
      <c r="K6" s="112">
        <v>0.0</v>
      </c>
      <c r="L6" s="110"/>
      <c r="M6" s="111"/>
      <c r="N6" s="106">
        <f t="shared" si="1"/>
        <v>0</v>
      </c>
    </row>
    <row r="7" ht="21.75" customHeight="1">
      <c r="A7" s="100" t="s">
        <v>138</v>
      </c>
      <c r="B7" s="139"/>
      <c r="C7" s="140"/>
      <c r="D7" s="139"/>
      <c r="E7" s="140"/>
      <c r="F7" s="146"/>
      <c r="G7" s="146"/>
      <c r="H7" s="139"/>
      <c r="I7" s="140"/>
      <c r="J7" s="141"/>
      <c r="K7" s="141"/>
      <c r="L7" s="142">
        <v>0.0</v>
      </c>
      <c r="M7" s="143">
        <v>0.0</v>
      </c>
      <c r="N7" s="138">
        <f t="shared" si="1"/>
        <v>0</v>
      </c>
    </row>
  </sheetData>
  <mergeCells count="6">
    <mergeCell ref="B1:C1"/>
    <mergeCell ref="D1:E1"/>
    <mergeCell ref="F1:G1"/>
    <mergeCell ref="H1:I1"/>
    <mergeCell ref="J1:K1"/>
    <mergeCell ref="L1:M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11" width="7.63"/>
    <col customWidth="1" min="12" max="12" width="13.88"/>
    <col customWidth="1" min="13" max="13" width="6.38"/>
  </cols>
  <sheetData>
    <row r="1" ht="21.75" customHeight="1">
      <c r="A1" s="97" t="s">
        <v>0</v>
      </c>
      <c r="B1" s="131" t="s">
        <v>139</v>
      </c>
      <c r="C1" s="132"/>
      <c r="D1" s="133" t="s">
        <v>140</v>
      </c>
      <c r="E1" s="134"/>
      <c r="F1" s="131" t="s">
        <v>141</v>
      </c>
      <c r="G1" s="132"/>
      <c r="H1" s="131" t="s">
        <v>142</v>
      </c>
      <c r="I1" s="132"/>
      <c r="J1" s="131" t="s">
        <v>143</v>
      </c>
      <c r="K1" s="132"/>
      <c r="L1" s="99" t="s">
        <v>114</v>
      </c>
      <c r="M1" s="62" t="s">
        <v>115</v>
      </c>
    </row>
    <row r="2" ht="21.75" customHeight="1">
      <c r="A2" s="100" t="s">
        <v>141</v>
      </c>
      <c r="B2" s="103">
        <v>0.0</v>
      </c>
      <c r="C2" s="104">
        <v>2.0</v>
      </c>
      <c r="D2" s="116"/>
      <c r="E2" s="117"/>
      <c r="F2" s="103">
        <v>0.0</v>
      </c>
      <c r="G2" s="104">
        <v>0.0</v>
      </c>
      <c r="H2" s="118"/>
      <c r="I2" s="118"/>
      <c r="J2" s="103">
        <v>2.0</v>
      </c>
      <c r="K2" s="104">
        <v>0.0</v>
      </c>
      <c r="L2" s="106">
        <f t="shared" ref="L2:L6" si="1">sum(B2,D2,F2,J2,H2)</f>
        <v>2</v>
      </c>
    </row>
    <row r="3" ht="21.75" customHeight="1">
      <c r="A3" s="115" t="s">
        <v>143</v>
      </c>
      <c r="B3" s="108"/>
      <c r="C3" s="109"/>
      <c r="D3" s="110">
        <v>2.0</v>
      </c>
      <c r="E3" s="111">
        <v>0.0</v>
      </c>
      <c r="F3" s="110">
        <v>0.0</v>
      </c>
      <c r="G3" s="111">
        <v>2.0</v>
      </c>
      <c r="H3" s="112"/>
      <c r="I3" s="112"/>
      <c r="J3" s="110">
        <v>0.0</v>
      </c>
      <c r="K3" s="111">
        <v>0.0</v>
      </c>
      <c r="L3" s="106">
        <f t="shared" si="1"/>
        <v>2</v>
      </c>
    </row>
    <row r="4" ht="21.75" customHeight="1">
      <c r="A4" s="100" t="s">
        <v>139</v>
      </c>
      <c r="B4" s="110">
        <v>0.0</v>
      </c>
      <c r="C4" s="111">
        <v>0.0</v>
      </c>
      <c r="D4" s="108"/>
      <c r="E4" s="109"/>
      <c r="F4" s="110">
        <v>2.0</v>
      </c>
      <c r="G4" s="111">
        <v>0.0</v>
      </c>
      <c r="H4" s="113"/>
      <c r="I4" s="113"/>
      <c r="J4" s="108"/>
      <c r="K4" s="109"/>
      <c r="L4" s="106">
        <f t="shared" si="1"/>
        <v>2</v>
      </c>
    </row>
    <row r="5" ht="21.75" customHeight="1">
      <c r="A5" s="100" t="s">
        <v>140</v>
      </c>
      <c r="B5" s="116"/>
      <c r="C5" s="117"/>
      <c r="D5" s="103">
        <v>0.0</v>
      </c>
      <c r="E5" s="104">
        <v>0.0</v>
      </c>
      <c r="F5" s="116"/>
      <c r="G5" s="117"/>
      <c r="H5" s="118"/>
      <c r="I5" s="118"/>
      <c r="J5" s="103">
        <v>0.0</v>
      </c>
      <c r="K5" s="104">
        <v>2.0</v>
      </c>
      <c r="L5" s="106">
        <f t="shared" si="1"/>
        <v>0</v>
      </c>
    </row>
    <row r="6" ht="21.75" customHeight="1">
      <c r="A6" s="100" t="s">
        <v>142</v>
      </c>
      <c r="B6" s="139"/>
      <c r="C6" s="140"/>
      <c r="D6" s="139"/>
      <c r="E6" s="140"/>
      <c r="F6" s="139"/>
      <c r="G6" s="140"/>
      <c r="H6" s="141">
        <v>0.0</v>
      </c>
      <c r="I6" s="141">
        <v>0.0</v>
      </c>
      <c r="J6" s="142"/>
      <c r="K6" s="143"/>
      <c r="L6" s="138">
        <f t="shared" si="1"/>
        <v>0</v>
      </c>
    </row>
  </sheetData>
  <mergeCells count="5">
    <mergeCell ref="B1:C1"/>
    <mergeCell ref="D1:E1"/>
    <mergeCell ref="F1:G1"/>
    <mergeCell ref="H1:I1"/>
    <mergeCell ref="J1:K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1" width="7.63"/>
    <col customWidth="1" min="22" max="22" width="13.88"/>
    <col customWidth="1" min="23" max="23" width="6.38"/>
  </cols>
  <sheetData>
    <row r="1" ht="21.75" customHeight="1">
      <c r="A1" s="97" t="s">
        <v>0</v>
      </c>
      <c r="B1" s="131" t="s">
        <v>144</v>
      </c>
      <c r="C1" s="132"/>
      <c r="D1" s="133" t="s">
        <v>145</v>
      </c>
      <c r="E1" s="134"/>
      <c r="F1" s="131" t="s">
        <v>146</v>
      </c>
      <c r="G1" s="132"/>
      <c r="H1" s="133" t="s">
        <v>147</v>
      </c>
      <c r="I1" s="134"/>
      <c r="J1" s="131" t="s">
        <v>101</v>
      </c>
      <c r="K1" s="132"/>
      <c r="L1" s="133" t="s">
        <v>148</v>
      </c>
      <c r="M1" s="134"/>
      <c r="N1" s="131" t="s">
        <v>149</v>
      </c>
      <c r="O1" s="132"/>
      <c r="P1" s="133" t="s">
        <v>150</v>
      </c>
      <c r="Q1" s="134"/>
      <c r="R1" s="135" t="s">
        <v>151</v>
      </c>
      <c r="S1" s="136"/>
      <c r="T1" s="147" t="s">
        <v>152</v>
      </c>
      <c r="V1" s="99" t="s">
        <v>114</v>
      </c>
      <c r="W1" s="62" t="s">
        <v>115</v>
      </c>
    </row>
    <row r="2" ht="21.75" customHeight="1">
      <c r="A2" s="100" t="s">
        <v>5</v>
      </c>
      <c r="B2" s="103">
        <v>2.0</v>
      </c>
      <c r="C2" s="104">
        <v>0.0</v>
      </c>
      <c r="D2" s="103">
        <v>0.0</v>
      </c>
      <c r="E2" s="104">
        <v>0.0</v>
      </c>
      <c r="F2" s="103">
        <v>2.0</v>
      </c>
      <c r="G2" s="104">
        <v>0.0</v>
      </c>
      <c r="H2" s="116"/>
      <c r="I2" s="117"/>
      <c r="J2" s="116"/>
      <c r="K2" s="117"/>
      <c r="L2" s="116"/>
      <c r="M2" s="117"/>
      <c r="N2" s="103"/>
      <c r="O2" s="104"/>
      <c r="P2" s="103">
        <v>2.0</v>
      </c>
      <c r="Q2" s="104">
        <v>1.0</v>
      </c>
      <c r="R2" s="103">
        <v>2.0</v>
      </c>
      <c r="S2" s="105">
        <v>0.0</v>
      </c>
      <c r="T2" s="116"/>
      <c r="U2" s="117"/>
      <c r="V2" s="106">
        <f t="shared" ref="V2:V11" si="1">sum(B2,D2,F2,H2,J2,L2,N2,P2,R2, T2)</f>
        <v>8</v>
      </c>
    </row>
    <row r="3" ht="21.75" customHeight="1">
      <c r="A3" s="100" t="s">
        <v>8</v>
      </c>
      <c r="B3" s="116"/>
      <c r="C3" s="117"/>
      <c r="D3" s="116"/>
      <c r="E3" s="117"/>
      <c r="F3" s="103">
        <v>2.0</v>
      </c>
      <c r="G3" s="104">
        <v>0.0</v>
      </c>
      <c r="H3" s="116"/>
      <c r="I3" s="117"/>
      <c r="J3" s="103">
        <v>0.0</v>
      </c>
      <c r="K3" s="104">
        <v>0.0</v>
      </c>
      <c r="L3" s="116"/>
      <c r="M3" s="117"/>
      <c r="N3" s="103">
        <v>2.0</v>
      </c>
      <c r="O3" s="104">
        <v>0.0</v>
      </c>
      <c r="P3" s="103">
        <v>2.0</v>
      </c>
      <c r="Q3" s="104">
        <v>0.0</v>
      </c>
      <c r="R3" s="116"/>
      <c r="S3" s="118"/>
      <c r="T3" s="103">
        <v>2.0</v>
      </c>
      <c r="U3" s="104">
        <v>0.0</v>
      </c>
      <c r="V3" s="106">
        <f t="shared" si="1"/>
        <v>8</v>
      </c>
    </row>
    <row r="4" ht="21.75" customHeight="1">
      <c r="A4" s="100" t="s">
        <v>153</v>
      </c>
      <c r="B4" s="103">
        <v>2.0</v>
      </c>
      <c r="C4" s="104">
        <v>0.0</v>
      </c>
      <c r="D4" s="103">
        <v>0.0</v>
      </c>
      <c r="E4" s="104">
        <v>2.0</v>
      </c>
      <c r="F4" s="103">
        <v>0.0</v>
      </c>
      <c r="G4" s="104">
        <v>0.0</v>
      </c>
      <c r="H4" s="116"/>
      <c r="I4" s="117"/>
      <c r="J4" s="103">
        <v>0.0</v>
      </c>
      <c r="K4" s="104">
        <v>2.0</v>
      </c>
      <c r="L4" s="116"/>
      <c r="M4" s="117"/>
      <c r="N4" s="103">
        <v>0.0</v>
      </c>
      <c r="O4" s="104">
        <v>2.0</v>
      </c>
      <c r="P4" s="116"/>
      <c r="Q4" s="117"/>
      <c r="R4" s="103">
        <v>2.0</v>
      </c>
      <c r="S4" s="105">
        <v>0.0</v>
      </c>
      <c r="T4" s="116"/>
      <c r="U4" s="117"/>
      <c r="V4" s="106">
        <f t="shared" si="1"/>
        <v>4</v>
      </c>
    </row>
    <row r="5" ht="21.75" customHeight="1">
      <c r="A5" s="100" t="s">
        <v>154</v>
      </c>
      <c r="B5" s="103">
        <v>2.0</v>
      </c>
      <c r="C5" s="104">
        <v>0.0</v>
      </c>
      <c r="D5" s="116"/>
      <c r="E5" s="117"/>
      <c r="F5" s="116"/>
      <c r="G5" s="117"/>
      <c r="H5" s="116"/>
      <c r="I5" s="117"/>
      <c r="J5" s="116"/>
      <c r="K5" s="117"/>
      <c r="L5" s="103">
        <v>0.0</v>
      </c>
      <c r="M5" s="104">
        <v>0.0</v>
      </c>
      <c r="N5" s="116"/>
      <c r="O5" s="117"/>
      <c r="P5" s="103">
        <v>2.0</v>
      </c>
      <c r="Q5" s="104">
        <v>0.0</v>
      </c>
      <c r="R5" s="116"/>
      <c r="S5" s="118"/>
      <c r="T5" s="116"/>
      <c r="U5" s="117"/>
      <c r="V5" s="106">
        <f t="shared" si="1"/>
        <v>4</v>
      </c>
    </row>
    <row r="6" ht="21.75" customHeight="1">
      <c r="A6" s="100" t="s">
        <v>10</v>
      </c>
      <c r="B6" s="108"/>
      <c r="C6" s="109"/>
      <c r="D6" s="108"/>
      <c r="E6" s="109"/>
      <c r="F6" s="110">
        <v>2.0</v>
      </c>
      <c r="G6" s="111">
        <v>0.0</v>
      </c>
      <c r="H6" s="108"/>
      <c r="I6" s="109"/>
      <c r="J6" s="110">
        <v>0.0</v>
      </c>
      <c r="K6" s="111">
        <v>2.0</v>
      </c>
      <c r="L6" s="108"/>
      <c r="M6" s="109"/>
      <c r="N6" s="110">
        <v>0.0</v>
      </c>
      <c r="O6" s="111">
        <v>0.0</v>
      </c>
      <c r="P6" s="110"/>
      <c r="Q6" s="111"/>
      <c r="R6" s="108"/>
      <c r="S6" s="113"/>
      <c r="T6" s="108"/>
      <c r="U6" s="109"/>
      <c r="V6" s="106">
        <f t="shared" si="1"/>
        <v>2</v>
      </c>
    </row>
    <row r="7" ht="21.75" customHeight="1">
      <c r="A7" s="100" t="s">
        <v>14</v>
      </c>
      <c r="B7" s="108"/>
      <c r="C7" s="109"/>
      <c r="D7" s="108"/>
      <c r="E7" s="109"/>
      <c r="F7" s="108"/>
      <c r="G7" s="109"/>
      <c r="H7" s="110"/>
      <c r="I7" s="111"/>
      <c r="J7" s="110">
        <v>0.0</v>
      </c>
      <c r="K7" s="111">
        <v>2.0</v>
      </c>
      <c r="L7" s="108"/>
      <c r="M7" s="109"/>
      <c r="N7" s="108"/>
      <c r="O7" s="109"/>
      <c r="P7" s="110">
        <v>2.0</v>
      </c>
      <c r="Q7" s="111">
        <v>0.0</v>
      </c>
      <c r="R7" s="108"/>
      <c r="S7" s="113"/>
      <c r="T7" s="110">
        <v>0.0</v>
      </c>
      <c r="U7" s="111">
        <v>0.0</v>
      </c>
      <c r="V7" s="106">
        <f t="shared" si="1"/>
        <v>2</v>
      </c>
    </row>
    <row r="8" ht="21.75" customHeight="1">
      <c r="A8" s="100" t="s">
        <v>155</v>
      </c>
      <c r="B8" s="116"/>
      <c r="C8" s="117"/>
      <c r="D8" s="103">
        <v>1.0</v>
      </c>
      <c r="E8" s="104">
        <v>2.0</v>
      </c>
      <c r="F8" s="116"/>
      <c r="G8" s="117"/>
      <c r="H8" s="116"/>
      <c r="I8" s="117"/>
      <c r="J8" s="103">
        <v>0.0</v>
      </c>
      <c r="K8" s="104">
        <v>2.0</v>
      </c>
      <c r="L8" s="103">
        <v>0.0</v>
      </c>
      <c r="M8" s="104">
        <v>2.0</v>
      </c>
      <c r="N8" s="116"/>
      <c r="O8" s="117"/>
      <c r="P8" s="103">
        <v>0.0</v>
      </c>
      <c r="Q8" s="104">
        <v>0.0</v>
      </c>
      <c r="R8" s="103"/>
      <c r="S8" s="105"/>
      <c r="T8" s="103">
        <v>0.0</v>
      </c>
      <c r="U8" s="104">
        <v>2.0</v>
      </c>
      <c r="V8" s="106">
        <f t="shared" si="1"/>
        <v>1</v>
      </c>
    </row>
    <row r="9" ht="21.75" customHeight="1">
      <c r="A9" s="100" t="s">
        <v>3</v>
      </c>
      <c r="B9" s="110">
        <v>0.0</v>
      </c>
      <c r="C9" s="111">
        <v>0.0</v>
      </c>
      <c r="D9" s="110">
        <v>0.0</v>
      </c>
      <c r="E9" s="111">
        <v>2.0</v>
      </c>
      <c r="F9" s="110">
        <v>0.0</v>
      </c>
      <c r="G9" s="111">
        <v>2.0</v>
      </c>
      <c r="H9" s="108"/>
      <c r="I9" s="109"/>
      <c r="J9" s="108"/>
      <c r="K9" s="109"/>
      <c r="L9" s="110">
        <v>0.0</v>
      </c>
      <c r="M9" s="111">
        <v>2.0</v>
      </c>
      <c r="N9" s="108"/>
      <c r="O9" s="109"/>
      <c r="P9" s="108"/>
      <c r="Q9" s="109"/>
      <c r="R9" s="108"/>
      <c r="S9" s="113"/>
      <c r="T9" s="108"/>
      <c r="U9" s="109"/>
      <c r="V9" s="106">
        <f t="shared" si="1"/>
        <v>0</v>
      </c>
    </row>
    <row r="10" ht="21.75" customHeight="1">
      <c r="A10" s="100" t="s">
        <v>7</v>
      </c>
      <c r="B10" s="101"/>
      <c r="C10" s="102"/>
      <c r="D10" s="101"/>
      <c r="E10" s="102"/>
      <c r="F10" s="101"/>
      <c r="G10" s="102"/>
      <c r="H10" s="103">
        <v>0.0</v>
      </c>
      <c r="I10" s="104">
        <v>0.0</v>
      </c>
      <c r="J10" s="101"/>
      <c r="K10" s="102"/>
      <c r="L10" s="101"/>
      <c r="M10" s="102"/>
      <c r="N10" s="101"/>
      <c r="O10" s="102"/>
      <c r="P10" s="101"/>
      <c r="Q10" s="102"/>
      <c r="R10" s="101"/>
      <c r="S10" s="148"/>
      <c r="T10" s="101"/>
      <c r="U10" s="102"/>
      <c r="V10" s="106">
        <f t="shared" si="1"/>
        <v>0</v>
      </c>
    </row>
    <row r="11" ht="21.75" customHeight="1">
      <c r="A11" s="100" t="s">
        <v>13</v>
      </c>
      <c r="B11" s="139"/>
      <c r="C11" s="140"/>
      <c r="D11" s="142">
        <v>0.0</v>
      </c>
      <c r="E11" s="143">
        <v>2.0</v>
      </c>
      <c r="F11" s="142">
        <v>0.0</v>
      </c>
      <c r="G11" s="143">
        <v>2.0</v>
      </c>
      <c r="H11" s="142"/>
      <c r="I11" s="143"/>
      <c r="J11" s="139"/>
      <c r="K11" s="140"/>
      <c r="L11" s="139"/>
      <c r="M11" s="140"/>
      <c r="N11" s="139"/>
      <c r="O11" s="140"/>
      <c r="P11" s="139"/>
      <c r="Q11" s="140"/>
      <c r="R11" s="142">
        <v>0.0</v>
      </c>
      <c r="S11" s="143">
        <v>0.0</v>
      </c>
      <c r="T11" s="142"/>
      <c r="U11" s="141"/>
      <c r="V11" s="138">
        <f t="shared" si="1"/>
        <v>0</v>
      </c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11" width="7.63"/>
    <col customWidth="1" min="12" max="12" width="13.88"/>
    <col customWidth="1" min="13" max="13" width="6.38"/>
  </cols>
  <sheetData>
    <row r="1" ht="21.75" customHeight="1">
      <c r="A1" s="97" t="s">
        <v>0</v>
      </c>
      <c r="B1" s="131" t="s">
        <v>156</v>
      </c>
      <c r="C1" s="132"/>
      <c r="D1" s="133" t="s">
        <v>157</v>
      </c>
      <c r="E1" s="134"/>
      <c r="F1" s="131" t="s">
        <v>158</v>
      </c>
      <c r="G1" s="132"/>
      <c r="H1" s="131" t="s">
        <v>159</v>
      </c>
      <c r="I1" s="132"/>
      <c r="J1" s="147" t="s">
        <v>160</v>
      </c>
      <c r="L1" s="99" t="s">
        <v>114</v>
      </c>
      <c r="M1" s="62" t="s">
        <v>115</v>
      </c>
    </row>
    <row r="2" ht="21.75" customHeight="1">
      <c r="A2" s="100" t="s">
        <v>158</v>
      </c>
      <c r="B2" s="103">
        <v>2.0</v>
      </c>
      <c r="C2" s="104">
        <v>0.0</v>
      </c>
      <c r="D2" s="116"/>
      <c r="E2" s="117"/>
      <c r="F2" s="103">
        <v>0.0</v>
      </c>
      <c r="G2" s="104">
        <v>0.0</v>
      </c>
      <c r="H2" s="116"/>
      <c r="I2" s="117"/>
      <c r="J2" s="116"/>
      <c r="K2" s="117"/>
      <c r="L2" s="149">
        <f t="shared" ref="L2:L6" si="1">sum(B2,D2,F2,H2, J2)</f>
        <v>2</v>
      </c>
    </row>
    <row r="3" ht="21.75" customHeight="1">
      <c r="A3" s="115" t="s">
        <v>156</v>
      </c>
      <c r="B3" s="110">
        <v>0.0</v>
      </c>
      <c r="C3" s="111">
        <v>0.0</v>
      </c>
      <c r="D3" s="108"/>
      <c r="E3" s="109"/>
      <c r="F3" s="110">
        <v>0.0</v>
      </c>
      <c r="G3" s="111">
        <v>2.0</v>
      </c>
      <c r="H3" s="108"/>
      <c r="I3" s="109"/>
      <c r="J3" s="108"/>
      <c r="K3" s="109"/>
      <c r="L3" s="149">
        <f t="shared" si="1"/>
        <v>0</v>
      </c>
    </row>
    <row r="4" ht="21.75" customHeight="1">
      <c r="A4" s="100" t="s">
        <v>157</v>
      </c>
      <c r="B4" s="116"/>
      <c r="C4" s="117"/>
      <c r="D4" s="103">
        <v>0.0</v>
      </c>
      <c r="E4" s="104">
        <v>0.0</v>
      </c>
      <c r="F4" s="116"/>
      <c r="G4" s="117"/>
      <c r="H4" s="116"/>
      <c r="I4" s="117"/>
      <c r="J4" s="116"/>
      <c r="K4" s="117"/>
      <c r="L4" s="149">
        <f t="shared" si="1"/>
        <v>0</v>
      </c>
    </row>
    <row r="5" ht="21.75" customHeight="1">
      <c r="A5" s="100" t="s">
        <v>159</v>
      </c>
      <c r="B5" s="108"/>
      <c r="C5" s="109"/>
      <c r="D5" s="108"/>
      <c r="E5" s="109"/>
      <c r="F5" s="108"/>
      <c r="G5" s="109"/>
      <c r="H5" s="110">
        <v>0.0</v>
      </c>
      <c r="I5" s="111">
        <v>0.0</v>
      </c>
      <c r="J5" s="110"/>
      <c r="K5" s="111"/>
      <c r="L5" s="149">
        <f t="shared" si="1"/>
        <v>0</v>
      </c>
    </row>
    <row r="6" ht="21.75" customHeight="1">
      <c r="A6" s="150" t="s">
        <v>160</v>
      </c>
      <c r="B6" s="139"/>
      <c r="C6" s="140"/>
      <c r="D6" s="139"/>
      <c r="E6" s="140"/>
      <c r="F6" s="139"/>
      <c r="G6" s="140"/>
      <c r="H6" s="142"/>
      <c r="I6" s="143"/>
      <c r="J6" s="142">
        <v>0.0</v>
      </c>
      <c r="K6" s="143">
        <v>0.0</v>
      </c>
      <c r="L6" s="151">
        <f t="shared" si="1"/>
        <v>0</v>
      </c>
    </row>
  </sheetData>
  <mergeCells count="5">
    <mergeCell ref="B1:C1"/>
    <mergeCell ref="D1:E1"/>
    <mergeCell ref="F1:G1"/>
    <mergeCell ref="H1:I1"/>
    <mergeCell ref="J1:K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17" width="7.63"/>
    <col customWidth="1" min="18" max="18" width="13.88"/>
    <col customWidth="1" min="19" max="19" width="6.38"/>
  </cols>
  <sheetData>
    <row r="1" ht="21.75" customHeight="1">
      <c r="A1" s="97" t="s">
        <v>0</v>
      </c>
      <c r="B1" s="131" t="s">
        <v>161</v>
      </c>
      <c r="C1" s="132"/>
      <c r="D1" s="133" t="s">
        <v>99</v>
      </c>
      <c r="E1" s="134"/>
      <c r="F1" s="131" t="s">
        <v>162</v>
      </c>
      <c r="G1" s="132"/>
      <c r="H1" s="131" t="s">
        <v>103</v>
      </c>
      <c r="I1" s="132"/>
      <c r="J1" s="131" t="s">
        <v>163</v>
      </c>
      <c r="K1" s="132"/>
      <c r="L1" s="131" t="s">
        <v>164</v>
      </c>
      <c r="M1" s="132"/>
      <c r="N1" s="131" t="s">
        <v>165</v>
      </c>
      <c r="O1" s="132"/>
      <c r="P1" s="131" t="s">
        <v>166</v>
      </c>
      <c r="Q1" s="132"/>
      <c r="R1" s="99" t="s">
        <v>114</v>
      </c>
      <c r="S1" s="62" t="s">
        <v>115</v>
      </c>
    </row>
    <row r="2" ht="21.75" customHeight="1">
      <c r="A2" s="100" t="s">
        <v>43</v>
      </c>
      <c r="B2" s="110">
        <v>2.0</v>
      </c>
      <c r="C2" s="111">
        <v>0.0</v>
      </c>
      <c r="D2" s="108"/>
      <c r="E2" s="109"/>
      <c r="F2" s="108"/>
      <c r="G2" s="109"/>
      <c r="H2" s="112">
        <v>2.0</v>
      </c>
      <c r="I2" s="112">
        <v>1.0</v>
      </c>
      <c r="J2" s="110">
        <v>2.0</v>
      </c>
      <c r="K2" s="112">
        <v>0.0</v>
      </c>
      <c r="L2" s="103">
        <v>0.0</v>
      </c>
      <c r="M2" s="105">
        <v>0.0</v>
      </c>
      <c r="N2" s="110"/>
      <c r="O2" s="112"/>
      <c r="P2" s="110">
        <v>2.0</v>
      </c>
      <c r="Q2" s="111">
        <v>0.0</v>
      </c>
      <c r="R2" s="106">
        <f t="shared" ref="R2:R9" si="1">sum(B2,D2,F2,N2,P2,H2,J2,L2)</f>
        <v>8</v>
      </c>
    </row>
    <row r="3" ht="21.75" customHeight="1">
      <c r="A3" s="100" t="s">
        <v>51</v>
      </c>
      <c r="B3" s="110">
        <v>2.0</v>
      </c>
      <c r="C3" s="111">
        <v>0.0</v>
      </c>
      <c r="D3" s="108"/>
      <c r="E3" s="109"/>
      <c r="F3" s="110">
        <v>2.0</v>
      </c>
      <c r="G3" s="111">
        <v>0.0</v>
      </c>
      <c r="H3" s="112"/>
      <c r="I3" s="112"/>
      <c r="J3" s="103"/>
      <c r="K3" s="105"/>
      <c r="L3" s="110"/>
      <c r="M3" s="112"/>
      <c r="N3" s="103">
        <v>0.0</v>
      </c>
      <c r="O3" s="105">
        <v>0.0</v>
      </c>
      <c r="P3" s="110"/>
      <c r="Q3" s="111"/>
      <c r="R3" s="106">
        <f t="shared" si="1"/>
        <v>4</v>
      </c>
    </row>
    <row r="4" ht="21.75" customHeight="1">
      <c r="A4" s="100" t="s">
        <v>40</v>
      </c>
      <c r="B4" s="110">
        <v>2.0</v>
      </c>
      <c r="C4" s="111">
        <v>0.0</v>
      </c>
      <c r="D4" s="108"/>
      <c r="E4" s="109"/>
      <c r="F4" s="108"/>
      <c r="G4" s="109"/>
      <c r="H4" s="105">
        <v>0.0</v>
      </c>
      <c r="I4" s="105">
        <v>0.0</v>
      </c>
      <c r="J4" s="110"/>
      <c r="K4" s="112"/>
      <c r="L4" s="110">
        <v>1.0</v>
      </c>
      <c r="M4" s="112">
        <v>2.0</v>
      </c>
      <c r="N4" s="110"/>
      <c r="O4" s="112"/>
      <c r="P4" s="110"/>
      <c r="Q4" s="111"/>
      <c r="R4" s="106">
        <f t="shared" si="1"/>
        <v>3</v>
      </c>
    </row>
    <row r="5" ht="21.75" customHeight="1">
      <c r="A5" s="100" t="s">
        <v>41</v>
      </c>
      <c r="B5" s="110">
        <v>2.0</v>
      </c>
      <c r="C5" s="111">
        <v>0.0</v>
      </c>
      <c r="D5" s="108"/>
      <c r="E5" s="109"/>
      <c r="F5" s="108"/>
      <c r="G5" s="109"/>
      <c r="H5" s="110"/>
      <c r="I5" s="111"/>
      <c r="J5" s="103">
        <v>0.0</v>
      </c>
      <c r="K5" s="105">
        <v>0.0</v>
      </c>
      <c r="L5" s="110">
        <v>0.0</v>
      </c>
      <c r="M5" s="112">
        <v>2.0</v>
      </c>
      <c r="N5" s="103"/>
      <c r="O5" s="105"/>
      <c r="P5" s="110"/>
      <c r="Q5" s="111"/>
      <c r="R5" s="106">
        <f t="shared" si="1"/>
        <v>2</v>
      </c>
    </row>
    <row r="6" ht="21.75" customHeight="1">
      <c r="A6" s="100" t="s">
        <v>31</v>
      </c>
      <c r="B6" s="110">
        <v>0.0</v>
      </c>
      <c r="C6" s="111">
        <v>0.0</v>
      </c>
      <c r="D6" s="110">
        <v>0.0</v>
      </c>
      <c r="E6" s="111">
        <v>2.0</v>
      </c>
      <c r="F6" s="108"/>
      <c r="G6" s="109"/>
      <c r="H6" s="112">
        <v>0.0</v>
      </c>
      <c r="I6" s="112">
        <v>2.0</v>
      </c>
      <c r="J6" s="110">
        <v>0.0</v>
      </c>
      <c r="K6" s="111">
        <v>2.0</v>
      </c>
      <c r="L6" s="110">
        <v>0.0</v>
      </c>
      <c r="M6" s="112">
        <v>2.0</v>
      </c>
      <c r="N6" s="110">
        <v>0.0</v>
      </c>
      <c r="O6" s="111">
        <v>2.0</v>
      </c>
      <c r="P6" s="110">
        <v>2.0</v>
      </c>
      <c r="Q6" s="111">
        <v>0.0</v>
      </c>
      <c r="R6" s="106">
        <f t="shared" si="1"/>
        <v>2</v>
      </c>
    </row>
    <row r="7" ht="21.75" customHeight="1">
      <c r="A7" s="100" t="s">
        <v>37</v>
      </c>
      <c r="B7" s="103">
        <v>2.0</v>
      </c>
      <c r="C7" s="104">
        <v>0.0</v>
      </c>
      <c r="D7" s="103">
        <v>0.0</v>
      </c>
      <c r="E7" s="104">
        <v>0.0</v>
      </c>
      <c r="F7" s="116"/>
      <c r="G7" s="117"/>
      <c r="H7" s="118"/>
      <c r="I7" s="118"/>
      <c r="J7" s="116"/>
      <c r="K7" s="118"/>
      <c r="L7" s="116"/>
      <c r="M7" s="117"/>
      <c r="N7" s="116"/>
      <c r="O7" s="118"/>
      <c r="P7" s="116"/>
      <c r="Q7" s="117"/>
      <c r="R7" s="106">
        <f t="shared" si="1"/>
        <v>2</v>
      </c>
    </row>
    <row r="8" ht="21.75" customHeight="1">
      <c r="A8" s="100" t="s">
        <v>167</v>
      </c>
      <c r="B8" s="116"/>
      <c r="C8" s="117"/>
      <c r="D8" s="116"/>
      <c r="E8" s="117"/>
      <c r="F8" s="103">
        <v>0.0</v>
      </c>
      <c r="G8" s="104">
        <v>0.0</v>
      </c>
      <c r="H8" s="118"/>
      <c r="I8" s="118"/>
      <c r="J8" s="116"/>
      <c r="K8" s="118"/>
      <c r="L8" s="116"/>
      <c r="M8" s="118"/>
      <c r="N8" s="103">
        <v>0.0</v>
      </c>
      <c r="O8" s="105">
        <v>2.0</v>
      </c>
      <c r="P8" s="116"/>
      <c r="Q8" s="117"/>
      <c r="R8" s="106">
        <f t="shared" si="1"/>
        <v>0</v>
      </c>
    </row>
    <row r="9" ht="21.75" customHeight="1">
      <c r="A9" s="100" t="s">
        <v>46</v>
      </c>
      <c r="B9" s="142">
        <v>0.0</v>
      </c>
      <c r="C9" s="143">
        <v>2.0</v>
      </c>
      <c r="D9" s="139"/>
      <c r="E9" s="140"/>
      <c r="F9" s="139"/>
      <c r="G9" s="140"/>
      <c r="H9" s="141"/>
      <c r="I9" s="141"/>
      <c r="J9" s="142"/>
      <c r="K9" s="141"/>
      <c r="L9" s="142">
        <v>0.0</v>
      </c>
      <c r="M9" s="141">
        <v>2.0</v>
      </c>
      <c r="N9" s="142"/>
      <c r="O9" s="141"/>
      <c r="P9" s="142">
        <v>0.0</v>
      </c>
      <c r="Q9" s="143">
        <v>0.0</v>
      </c>
      <c r="R9" s="152">
        <f t="shared" si="1"/>
        <v>0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